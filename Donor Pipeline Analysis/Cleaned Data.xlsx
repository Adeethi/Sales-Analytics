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AQ\Downloads\"/>
    </mc:Choice>
  </mc:AlternateContent>
  <xr:revisionPtr revIDLastSave="0" documentId="13_ncr:1_{7E25EFDC-A4F3-455F-AD06-C4629862FC53}" xr6:coauthVersionLast="47" xr6:coauthVersionMax="47" xr10:uidLastSave="{00000000-0000-0000-0000-000000000000}"/>
  <bookViews>
    <workbookView xWindow="-120" yWindow="-120" windowWidth="15600" windowHeight="11160" tabRatio="500" xr2:uid="{00000000-000D-0000-FFFF-FFFF00000000}"/>
  </bookViews>
  <sheets>
    <sheet name="Donor Data (Task 1,2,3,4, 6)" sheetId="1" r:id="rId1"/>
    <sheet name="Owner Totals (Pivot)(Task 4)" sheetId="2" r:id="rId2"/>
    <sheet name="Owner Performance(Task 5)" sheetId="3" r:id="rId3"/>
    <sheet name="Age Group Insights(Task 6)" sheetId="4" r:id="rId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4" i="2" l="1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45" i="2" s="1"/>
  <c r="C4" i="2"/>
  <c r="C45" i="2" s="1"/>
  <c r="B4" i="2"/>
  <c r="H274" i="1"/>
  <c r="D274" i="1"/>
  <c r="H273" i="1"/>
  <c r="D273" i="1"/>
  <c r="H272" i="1"/>
  <c r="D272" i="1"/>
  <c r="H271" i="1"/>
  <c r="D271" i="1"/>
  <c r="H270" i="1"/>
  <c r="D270" i="1"/>
  <c r="H269" i="1"/>
  <c r="D269" i="1"/>
  <c r="H268" i="1"/>
  <c r="D268" i="1"/>
  <c r="H267" i="1"/>
  <c r="D267" i="1"/>
  <c r="H266" i="1"/>
  <c r="D266" i="1"/>
  <c r="H265" i="1"/>
  <c r="D265" i="1"/>
  <c r="H264" i="1"/>
  <c r="D264" i="1"/>
  <c r="H263" i="1"/>
  <c r="D263" i="1"/>
  <c r="H262" i="1"/>
  <c r="D262" i="1"/>
  <c r="H261" i="1"/>
  <c r="D261" i="1"/>
  <c r="H260" i="1"/>
  <c r="D260" i="1"/>
  <c r="H259" i="1"/>
  <c r="D259" i="1"/>
  <c r="H258" i="1"/>
  <c r="D258" i="1"/>
  <c r="H257" i="1"/>
  <c r="D257" i="1"/>
  <c r="H256" i="1"/>
  <c r="D256" i="1"/>
  <c r="H255" i="1"/>
  <c r="D255" i="1"/>
  <c r="H254" i="1"/>
  <c r="D254" i="1"/>
  <c r="H253" i="1"/>
  <c r="D253" i="1"/>
  <c r="H252" i="1"/>
  <c r="D252" i="1"/>
  <c r="H251" i="1"/>
  <c r="D251" i="1"/>
  <c r="H250" i="1"/>
  <c r="D250" i="1"/>
  <c r="H249" i="1"/>
  <c r="D249" i="1"/>
  <c r="H248" i="1"/>
  <c r="D248" i="1"/>
  <c r="H247" i="1"/>
  <c r="D247" i="1"/>
  <c r="H246" i="1"/>
  <c r="D246" i="1"/>
  <c r="H245" i="1"/>
  <c r="D245" i="1"/>
  <c r="H244" i="1"/>
  <c r="D244" i="1"/>
  <c r="H243" i="1"/>
  <c r="D243" i="1"/>
  <c r="H242" i="1"/>
  <c r="D242" i="1"/>
  <c r="H241" i="1"/>
  <c r="D241" i="1"/>
  <c r="H240" i="1"/>
  <c r="D240" i="1"/>
  <c r="H239" i="1"/>
  <c r="D239" i="1"/>
  <c r="H238" i="1"/>
  <c r="D238" i="1"/>
  <c r="H237" i="1"/>
  <c r="D237" i="1"/>
  <c r="H236" i="1"/>
  <c r="D236" i="1"/>
  <c r="H235" i="1"/>
  <c r="D235" i="1"/>
  <c r="H234" i="1"/>
  <c r="D234" i="1"/>
  <c r="H233" i="1"/>
  <c r="D233" i="1"/>
  <c r="H232" i="1"/>
  <c r="D232" i="1"/>
  <c r="H231" i="1"/>
  <c r="D231" i="1"/>
  <c r="H230" i="1"/>
  <c r="D230" i="1"/>
  <c r="H229" i="1"/>
  <c r="D229" i="1"/>
  <c r="H228" i="1"/>
  <c r="D228" i="1"/>
  <c r="H227" i="1"/>
  <c r="D227" i="1"/>
  <c r="H226" i="1"/>
  <c r="D226" i="1"/>
  <c r="H225" i="1"/>
  <c r="D225" i="1"/>
  <c r="H224" i="1"/>
  <c r="D224" i="1"/>
  <c r="H223" i="1"/>
  <c r="D223" i="1"/>
  <c r="H222" i="1"/>
  <c r="D222" i="1"/>
  <c r="H221" i="1"/>
  <c r="D221" i="1"/>
  <c r="H220" i="1"/>
  <c r="D220" i="1"/>
  <c r="H219" i="1"/>
  <c r="D219" i="1"/>
  <c r="H218" i="1"/>
  <c r="D218" i="1"/>
  <c r="H217" i="1"/>
  <c r="D217" i="1"/>
  <c r="H216" i="1"/>
  <c r="D216" i="1"/>
  <c r="H215" i="1"/>
  <c r="D215" i="1"/>
  <c r="H214" i="1"/>
  <c r="D214" i="1"/>
  <c r="H213" i="1"/>
  <c r="D213" i="1"/>
  <c r="H212" i="1"/>
  <c r="D212" i="1"/>
  <c r="H211" i="1"/>
  <c r="D211" i="1"/>
  <c r="H210" i="1"/>
  <c r="D210" i="1"/>
  <c r="H209" i="1"/>
  <c r="D209" i="1"/>
  <c r="H208" i="1"/>
  <c r="D208" i="1"/>
  <c r="H207" i="1"/>
  <c r="D207" i="1"/>
  <c r="H206" i="1"/>
  <c r="D206" i="1"/>
  <c r="H205" i="1"/>
  <c r="D205" i="1"/>
  <c r="H204" i="1"/>
  <c r="D204" i="1"/>
  <c r="H203" i="1"/>
  <c r="D203" i="1"/>
  <c r="H202" i="1"/>
  <c r="D202" i="1"/>
  <c r="H201" i="1"/>
  <c r="D201" i="1"/>
  <c r="H200" i="1"/>
  <c r="D200" i="1"/>
  <c r="H199" i="1"/>
  <c r="D199" i="1"/>
  <c r="H198" i="1"/>
  <c r="D198" i="1"/>
  <c r="H197" i="1"/>
  <c r="D197" i="1"/>
  <c r="H196" i="1"/>
  <c r="D196" i="1"/>
  <c r="H195" i="1"/>
  <c r="D195" i="1"/>
  <c r="H194" i="1"/>
  <c r="D194" i="1"/>
  <c r="H193" i="1"/>
  <c r="D193" i="1"/>
  <c r="H192" i="1"/>
  <c r="D192" i="1"/>
  <c r="H191" i="1"/>
  <c r="D191" i="1"/>
  <c r="H190" i="1"/>
  <c r="D190" i="1"/>
  <c r="H189" i="1"/>
  <c r="D189" i="1"/>
  <c r="H188" i="1"/>
  <c r="D188" i="1"/>
  <c r="H187" i="1"/>
  <c r="D187" i="1"/>
  <c r="H186" i="1"/>
  <c r="D186" i="1"/>
  <c r="H185" i="1"/>
  <c r="D185" i="1"/>
  <c r="H184" i="1"/>
  <c r="D184" i="1"/>
  <c r="H183" i="1"/>
  <c r="D183" i="1"/>
  <c r="H182" i="1"/>
  <c r="D182" i="1"/>
  <c r="H181" i="1"/>
  <c r="D181" i="1"/>
  <c r="H180" i="1"/>
  <c r="D180" i="1"/>
  <c r="H179" i="1"/>
  <c r="D179" i="1"/>
  <c r="H178" i="1"/>
  <c r="D178" i="1"/>
  <c r="H177" i="1"/>
  <c r="D177" i="1"/>
  <c r="H176" i="1"/>
  <c r="D176" i="1"/>
  <c r="H175" i="1"/>
  <c r="D175" i="1"/>
  <c r="H174" i="1"/>
  <c r="D174" i="1"/>
  <c r="H173" i="1"/>
  <c r="D173" i="1"/>
  <c r="H172" i="1"/>
  <c r="D172" i="1"/>
  <c r="H171" i="1"/>
  <c r="D171" i="1"/>
  <c r="H170" i="1"/>
  <c r="D170" i="1"/>
  <c r="H169" i="1"/>
  <c r="D169" i="1"/>
  <c r="H168" i="1"/>
  <c r="D168" i="1"/>
  <c r="H167" i="1"/>
  <c r="D167" i="1"/>
  <c r="H166" i="1"/>
  <c r="D166" i="1"/>
  <c r="H165" i="1"/>
  <c r="D165" i="1"/>
  <c r="H164" i="1"/>
  <c r="D164" i="1"/>
  <c r="H163" i="1"/>
  <c r="D163" i="1"/>
  <c r="H162" i="1"/>
  <c r="D162" i="1"/>
  <c r="H161" i="1"/>
  <c r="D161" i="1"/>
  <c r="H160" i="1"/>
  <c r="D160" i="1"/>
  <c r="H159" i="1"/>
  <c r="D159" i="1"/>
  <c r="H158" i="1"/>
  <c r="D158" i="1"/>
  <c r="H157" i="1"/>
  <c r="D157" i="1"/>
  <c r="H156" i="1"/>
  <c r="D156" i="1"/>
  <c r="H155" i="1"/>
  <c r="D155" i="1"/>
  <c r="H154" i="1"/>
  <c r="D154" i="1"/>
  <c r="H153" i="1"/>
  <c r="D153" i="1"/>
  <c r="H152" i="1"/>
  <c r="D152" i="1"/>
  <c r="H151" i="1"/>
  <c r="D151" i="1"/>
  <c r="H150" i="1"/>
  <c r="D150" i="1"/>
  <c r="H149" i="1"/>
  <c r="D149" i="1"/>
  <c r="H148" i="1"/>
  <c r="D148" i="1"/>
  <c r="H147" i="1"/>
  <c r="D147" i="1"/>
  <c r="H146" i="1"/>
  <c r="D146" i="1"/>
  <c r="H145" i="1"/>
  <c r="D145" i="1"/>
  <c r="H144" i="1"/>
  <c r="D144" i="1"/>
  <c r="H143" i="1"/>
  <c r="D143" i="1"/>
  <c r="H142" i="1"/>
  <c r="D142" i="1"/>
  <c r="H141" i="1"/>
  <c r="D141" i="1"/>
  <c r="H140" i="1"/>
  <c r="D140" i="1"/>
  <c r="H139" i="1"/>
  <c r="D139" i="1"/>
  <c r="H138" i="1"/>
  <c r="D138" i="1"/>
  <c r="H137" i="1"/>
  <c r="D137" i="1"/>
  <c r="H136" i="1"/>
  <c r="D136" i="1"/>
  <c r="H135" i="1"/>
  <c r="D135" i="1"/>
  <c r="H134" i="1"/>
  <c r="D134" i="1"/>
  <c r="H133" i="1"/>
  <c r="D133" i="1"/>
  <c r="H132" i="1"/>
  <c r="D132" i="1"/>
  <c r="H131" i="1"/>
  <c r="D131" i="1"/>
  <c r="H130" i="1"/>
  <c r="D130" i="1"/>
  <c r="H129" i="1"/>
  <c r="D129" i="1"/>
  <c r="H128" i="1"/>
  <c r="D128" i="1"/>
  <c r="H127" i="1"/>
  <c r="D127" i="1"/>
  <c r="H126" i="1"/>
  <c r="D126" i="1"/>
  <c r="H125" i="1"/>
  <c r="D125" i="1"/>
  <c r="H124" i="1"/>
  <c r="D124" i="1"/>
  <c r="H123" i="1"/>
  <c r="D123" i="1"/>
  <c r="H122" i="1"/>
  <c r="D122" i="1"/>
  <c r="H121" i="1"/>
  <c r="D121" i="1"/>
  <c r="H120" i="1"/>
  <c r="D120" i="1"/>
  <c r="H119" i="1"/>
  <c r="D119" i="1"/>
  <c r="H118" i="1"/>
  <c r="D118" i="1"/>
  <c r="H117" i="1"/>
  <c r="D117" i="1"/>
  <c r="H116" i="1"/>
  <c r="D116" i="1"/>
  <c r="H115" i="1"/>
  <c r="D115" i="1"/>
  <c r="H114" i="1"/>
  <c r="D114" i="1"/>
  <c r="H113" i="1"/>
  <c r="D113" i="1"/>
  <c r="H112" i="1"/>
  <c r="D112" i="1"/>
  <c r="H111" i="1"/>
  <c r="D111" i="1"/>
  <c r="H110" i="1"/>
  <c r="D110" i="1"/>
  <c r="H109" i="1"/>
  <c r="D109" i="1"/>
  <c r="H108" i="1"/>
  <c r="D108" i="1"/>
  <c r="H107" i="1"/>
  <c r="D107" i="1"/>
  <c r="H106" i="1"/>
  <c r="D106" i="1"/>
  <c r="H105" i="1"/>
  <c r="D105" i="1"/>
  <c r="H104" i="1"/>
  <c r="D104" i="1"/>
  <c r="H103" i="1"/>
  <c r="D103" i="1"/>
  <c r="H102" i="1"/>
  <c r="D102" i="1"/>
  <c r="H101" i="1"/>
  <c r="D101" i="1"/>
  <c r="H100" i="1"/>
  <c r="D100" i="1"/>
  <c r="H99" i="1"/>
  <c r="D99" i="1"/>
  <c r="H98" i="1"/>
  <c r="D98" i="1"/>
  <c r="H97" i="1"/>
  <c r="D97" i="1"/>
  <c r="H96" i="1"/>
  <c r="D96" i="1"/>
  <c r="H95" i="1"/>
  <c r="D95" i="1"/>
  <c r="H94" i="1"/>
  <c r="D94" i="1"/>
  <c r="H93" i="1"/>
  <c r="D93" i="1"/>
  <c r="H92" i="1"/>
  <c r="D92" i="1"/>
  <c r="H91" i="1"/>
  <c r="D91" i="1"/>
  <c r="H90" i="1"/>
  <c r="D90" i="1"/>
  <c r="H89" i="1"/>
  <c r="D89" i="1"/>
  <c r="H88" i="1"/>
  <c r="D88" i="1"/>
  <c r="H87" i="1"/>
  <c r="D87" i="1"/>
  <c r="H86" i="1"/>
  <c r="D86" i="1"/>
  <c r="H85" i="1"/>
  <c r="D85" i="1"/>
  <c r="H84" i="1"/>
  <c r="D84" i="1"/>
  <c r="H83" i="1"/>
  <c r="D83" i="1"/>
  <c r="H82" i="1"/>
  <c r="D82" i="1"/>
  <c r="H81" i="1"/>
  <c r="D81" i="1"/>
  <c r="H80" i="1"/>
  <c r="D80" i="1"/>
  <c r="H79" i="1"/>
  <c r="D79" i="1"/>
  <c r="H78" i="1"/>
  <c r="D78" i="1"/>
  <c r="H77" i="1"/>
  <c r="D77" i="1"/>
  <c r="H76" i="1"/>
  <c r="D76" i="1"/>
  <c r="H75" i="1"/>
  <c r="D75" i="1"/>
  <c r="H74" i="1"/>
  <c r="D74" i="1"/>
  <c r="H73" i="1"/>
  <c r="D73" i="1"/>
  <c r="H72" i="1"/>
  <c r="D72" i="1"/>
  <c r="H71" i="1"/>
  <c r="D71" i="1"/>
  <c r="H70" i="1"/>
  <c r="D70" i="1"/>
  <c r="H69" i="1"/>
  <c r="D69" i="1"/>
  <c r="H68" i="1"/>
  <c r="D68" i="1"/>
  <c r="H67" i="1"/>
  <c r="D67" i="1"/>
  <c r="H66" i="1"/>
  <c r="D66" i="1"/>
  <c r="H65" i="1"/>
  <c r="D65" i="1"/>
  <c r="H64" i="1"/>
  <c r="D64" i="1"/>
  <c r="H63" i="1"/>
  <c r="D63" i="1"/>
  <c r="H62" i="1"/>
  <c r="D62" i="1"/>
  <c r="H61" i="1"/>
  <c r="D61" i="1"/>
  <c r="H60" i="1"/>
  <c r="D60" i="1"/>
  <c r="H59" i="1"/>
  <c r="D59" i="1"/>
  <c r="H58" i="1"/>
  <c r="D58" i="1"/>
  <c r="H57" i="1"/>
  <c r="D57" i="1"/>
  <c r="H56" i="1"/>
  <c r="D56" i="1"/>
  <c r="H55" i="1"/>
  <c r="D55" i="1"/>
  <c r="H54" i="1"/>
  <c r="D54" i="1"/>
  <c r="H53" i="1"/>
  <c r="D53" i="1"/>
  <c r="H52" i="1"/>
  <c r="D52" i="1"/>
  <c r="H51" i="1"/>
  <c r="D51" i="1"/>
  <c r="H50" i="1"/>
  <c r="D50" i="1"/>
  <c r="H49" i="1"/>
  <c r="D49" i="1"/>
  <c r="H48" i="1"/>
  <c r="D48" i="1"/>
  <c r="H47" i="1"/>
  <c r="D47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25" i="1"/>
  <c r="D25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18" i="1"/>
  <c r="D18" i="1"/>
  <c r="H24" i="1"/>
  <c r="D24" i="1"/>
  <c r="H23" i="1"/>
  <c r="D23" i="1"/>
  <c r="H22" i="1"/>
  <c r="D22" i="1"/>
  <c r="H21" i="1"/>
  <c r="D21" i="1"/>
  <c r="H20" i="1"/>
  <c r="D20" i="1"/>
  <c r="H19" i="1"/>
  <c r="D19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3" i="1"/>
  <c r="D3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K1" i="1" s="1"/>
  <c r="A276" i="1" s="1"/>
  <c r="D4" i="1"/>
  <c r="B45" i="2" l="1"/>
  <c r="G4" i="2"/>
  <c r="E45" i="2"/>
  <c r="F45" i="2" s="1"/>
  <c r="F4" i="2"/>
  <c r="G5" i="2"/>
  <c r="F5" i="2"/>
  <c r="G6" i="2"/>
  <c r="F6" i="2"/>
  <c r="G7" i="2"/>
  <c r="F7" i="2"/>
  <c r="G8" i="2"/>
  <c r="F8" i="2"/>
  <c r="G9" i="2"/>
  <c r="F9" i="2"/>
  <c r="G10" i="2"/>
  <c r="F10" i="2"/>
  <c r="G11" i="2"/>
  <c r="F11" i="2"/>
  <c r="G12" i="2"/>
  <c r="F12" i="2"/>
  <c r="G13" i="2"/>
  <c r="F13" i="2"/>
  <c r="G14" i="2"/>
  <c r="F14" i="2"/>
  <c r="G15" i="2"/>
  <c r="F15" i="2"/>
  <c r="G16" i="2"/>
  <c r="F16" i="2"/>
  <c r="G17" i="2"/>
  <c r="F17" i="2"/>
  <c r="G18" i="2"/>
  <c r="F18" i="2"/>
  <c r="G19" i="2"/>
  <c r="F19" i="2"/>
  <c r="G20" i="2"/>
  <c r="F20" i="2"/>
  <c r="G21" i="2"/>
  <c r="F21" i="2"/>
  <c r="G22" i="2"/>
  <c r="F22" i="2"/>
  <c r="G23" i="2"/>
  <c r="F23" i="2"/>
  <c r="G24" i="2"/>
  <c r="F24" i="2"/>
  <c r="G25" i="2"/>
  <c r="F25" i="2"/>
  <c r="G26" i="2"/>
  <c r="F26" i="2"/>
  <c r="G27" i="2"/>
  <c r="F27" i="2"/>
  <c r="G28" i="2"/>
  <c r="F28" i="2"/>
  <c r="G29" i="2"/>
  <c r="F29" i="2"/>
  <c r="G30" i="2"/>
  <c r="F30" i="2"/>
  <c r="G31" i="2"/>
  <c r="F31" i="2"/>
  <c r="G32" i="2"/>
  <c r="F32" i="2"/>
  <c r="G33" i="2"/>
  <c r="F33" i="2"/>
  <c r="G34" i="2"/>
  <c r="F34" i="2"/>
  <c r="G35" i="2"/>
  <c r="F35" i="2"/>
  <c r="G36" i="2"/>
  <c r="F36" i="2"/>
  <c r="G37" i="2"/>
  <c r="F37" i="2"/>
  <c r="G38" i="2"/>
  <c r="F38" i="2"/>
  <c r="G39" i="2"/>
  <c r="F39" i="2"/>
  <c r="G40" i="2"/>
  <c r="F40" i="2"/>
  <c r="G41" i="2"/>
  <c r="F41" i="2"/>
  <c r="G42" i="2"/>
  <c r="F42" i="2"/>
  <c r="G43" i="2"/>
  <c r="F43" i="2"/>
  <c r="G44" i="2"/>
  <c r="F44" i="2"/>
  <c r="K4" i="1"/>
  <c r="K5" i="1"/>
  <c r="K6" i="1"/>
  <c r="K7" i="1"/>
  <c r="K8" i="1"/>
  <c r="K10" i="1"/>
  <c r="K3" i="1"/>
  <c r="K11" i="1"/>
  <c r="K12" i="1"/>
  <c r="K13" i="1"/>
  <c r="K14" i="1"/>
  <c r="K15" i="1"/>
  <c r="K16" i="1"/>
  <c r="K17" i="1"/>
  <c r="K19" i="1"/>
  <c r="K20" i="1"/>
  <c r="K21" i="1"/>
  <c r="K22" i="1"/>
  <c r="K23" i="1"/>
  <c r="K24" i="1"/>
  <c r="K18" i="1"/>
  <c r="K26" i="1"/>
  <c r="K27" i="1"/>
  <c r="K28" i="1"/>
  <c r="K29" i="1"/>
  <c r="K30" i="1"/>
  <c r="K31" i="1"/>
  <c r="K32" i="1"/>
  <c r="K25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9" i="1"/>
</calcChain>
</file>

<file path=xl/sharedStrings.xml><?xml version="1.0" encoding="utf-8"?>
<sst xmlns="http://schemas.openxmlformats.org/spreadsheetml/2006/main" count="754" uniqueCount="84">
  <si>
    <t>June 2023 — Donor Submission Data (Detail) | Millennium Organisation</t>
  </si>
  <si>
    <t>Owner</t>
  </si>
  <si>
    <t>Age Group</t>
  </si>
  <si>
    <t>Submission</t>
  </si>
  <si>
    <t>Contribution %</t>
  </si>
  <si>
    <t>Debit 1</t>
  </si>
  <si>
    <t>Debit 2</t>
  </si>
  <si>
    <t>Debit 3</t>
  </si>
  <si>
    <t>Debit 3 %</t>
  </si>
  <si>
    <t>Performance (25-27)</t>
  </si>
  <si>
    <t>Abhijeet D</t>
  </si>
  <si>
    <t>25-27</t>
  </si>
  <si>
    <t>28-29</t>
  </si>
  <si>
    <t>30-34</t>
  </si>
  <si>
    <t>35-39</t>
  </si>
  <si>
    <t>40-44</t>
  </si>
  <si>
    <t>45-49</t>
  </si>
  <si>
    <t>50+</t>
  </si>
  <si>
    <t>BELOW 25</t>
  </si>
  <si>
    <t>Adnan Kantawala</t>
  </si>
  <si>
    <t>Ajay M</t>
  </si>
  <si>
    <t>Althaf A</t>
  </si>
  <si>
    <t>Amit B</t>
  </si>
  <si>
    <t>Ankit V</t>
  </si>
  <si>
    <t>Arun Kumar D</t>
  </si>
  <si>
    <t>Arvind S</t>
  </si>
  <si>
    <t>D Dinesh</t>
  </si>
  <si>
    <t>Gargi Y</t>
  </si>
  <si>
    <t>Hamza KMS</t>
  </si>
  <si>
    <t>Jagannathan K</t>
  </si>
  <si>
    <t>K Manoj</t>
  </si>
  <si>
    <t>Karan I</t>
  </si>
  <si>
    <t>Kshitij H</t>
  </si>
  <si>
    <t>Manoj S</t>
  </si>
  <si>
    <t>Mayank S</t>
  </si>
  <si>
    <t>Milind C</t>
  </si>
  <si>
    <t>MILLENNIUM</t>
  </si>
  <si>
    <t>Mohanasundaram R.</t>
  </si>
  <si>
    <t>Mrinal P</t>
  </si>
  <si>
    <t>Nadeem K</t>
  </si>
  <si>
    <t>Paul Babu</t>
  </si>
  <si>
    <t>Pooja D</t>
  </si>
  <si>
    <t>Rayees</t>
  </si>
  <si>
    <t>Rohit R</t>
  </si>
  <si>
    <t>Roshni R</t>
  </si>
  <si>
    <t>Sahil G</t>
  </si>
  <si>
    <t>Sai Lakshmi V</t>
  </si>
  <si>
    <t>Sandhya P</t>
  </si>
  <si>
    <t>Sanjay P</t>
  </si>
  <si>
    <t>Sarabjeet</t>
  </si>
  <si>
    <t>Shreya K</t>
  </si>
  <si>
    <t>Soundar S R</t>
  </si>
  <si>
    <t>Sukesh K</t>
  </si>
  <si>
    <t>Sumitha P</t>
  </si>
  <si>
    <t>Surendran R</t>
  </si>
  <si>
    <t>Tamil V</t>
  </si>
  <si>
    <t>V Ravi Kumar</t>
  </si>
  <si>
    <t>Vijay M K</t>
  </si>
  <si>
    <t>Yash P</t>
  </si>
  <si>
    <t>Owner-wise Totals — June 2023 | Millennium Organisation</t>
  </si>
  <si>
    <t>All totals calculated live via SUMIF from the "Donor Data" sheet</t>
  </si>
  <si>
    <t>Total Submissions</t>
  </si>
  <si>
    <t>Total Debit 1</t>
  </si>
  <si>
    <t>Total Debit 2</t>
  </si>
  <si>
    <t>Total Debit 3</t>
  </si>
  <si>
    <t>Overall Quality %</t>
  </si>
  <si>
    <t>Volume Rank</t>
  </si>
  <si>
    <t>Grand Total</t>
  </si>
  <si>
    <t>▌ Owner Submissions vs Final Debit (Debit 3)</t>
  </si>
  <si>
    <t>Owner Performance Summary — June 2023</t>
  </si>
  <si>
    <t>Quality = Debit 3% (Debit3/Submission)  |  Volume = Total Submissions  |  ⭐ = Top performers</t>
  </si>
  <si>
    <t>Debit 3 (Final)</t>
  </si>
  <si>
    <t>Quality Rank</t>
  </si>
  <si>
    <t>Verdict</t>
  </si>
  <si>
    <t>Age Group Analysis — Which Age Bands Drive Quality &amp; Volume?</t>
  </si>
  <si>
    <t>Drop-off D1→D3</t>
  </si>
  <si>
    <t>💡 Key Insight: 30-34 age band drives the highest submission volume. 50+ group shows the best retention (lowest drop-off). 25-27 has highest absolute volume but variable quality across owners.</t>
  </si>
  <si>
    <t xml:space="preserve"> Average</t>
  </si>
  <si>
    <r>
      <rPr>
        <sz val="11"/>
        <color rgb="FF003300"/>
        <rFont val="Calibri"/>
        <family val="2"/>
      </rPr>
      <t xml:space="preserve">Green Highlight Cell </t>
    </r>
    <r>
      <rPr>
        <sz val="11"/>
        <color theme="1"/>
        <rFont val="Calibri"/>
        <family val="2"/>
        <charset val="1"/>
      </rPr>
      <t xml:space="preserve">= owner's top-contributing age group 
</t>
    </r>
    <r>
      <rPr>
        <sz val="11"/>
        <color rgb="FFC00000"/>
        <rFont val="Calibri"/>
        <family val="2"/>
      </rPr>
      <t xml:space="preserve">Red Highlight Cell </t>
    </r>
    <r>
      <rPr>
        <sz val="11"/>
        <color theme="1"/>
        <rFont val="Calibri"/>
        <family val="2"/>
        <charset val="1"/>
      </rPr>
      <t>= 25-27 rows below average Debit 3% (needs attention)</t>
    </r>
  </si>
  <si>
    <t>Needs Attention</t>
  </si>
  <si>
    <t>High Volume</t>
  </si>
  <si>
    <t>Average</t>
  </si>
  <si>
    <t>Low Quality</t>
  </si>
  <si>
    <r>
      <rPr>
        <b/>
        <sz val="11"/>
        <color theme="1"/>
        <rFont val="Calibri"/>
        <family val="2"/>
      </rPr>
      <t>No owner currently ranks in the top 5 for both volume and quality, suggesting a trade-off between scale and conversion efficiency that leadership may want to address.</t>
    </r>
    <r>
      <rPr>
        <sz val="11"/>
        <color theme="1"/>
        <rFont val="Calibri"/>
        <family val="2"/>
        <charset val="1"/>
      </rPr>
      <t xml:space="preserve">
Verdict logic: Owners are ranked against each other on two dimensions — Volume Rank (by total submissions) and Quality Rank (by Debit 3%, i.e., donor retention rate).
</t>
    </r>
    <r>
      <rPr>
        <b/>
        <i/>
        <sz val="11"/>
        <color theme="1"/>
        <rFont val="Calibri"/>
        <family val="2"/>
      </rPr>
      <t>Top Performer</t>
    </r>
    <r>
      <rPr>
        <i/>
        <sz val="11"/>
        <color theme="1"/>
        <rFont val="Calibri"/>
        <family val="2"/>
      </rPr>
      <t xml:space="preserve">: ranks in the top 5 for both volume and quality
</t>
    </r>
    <r>
      <rPr>
        <b/>
        <i/>
        <sz val="11"/>
        <color theme="1"/>
        <rFont val="Calibri"/>
        <family val="2"/>
      </rPr>
      <t>High Volume</t>
    </r>
    <r>
      <rPr>
        <i/>
        <sz val="11"/>
        <color theme="1"/>
        <rFont val="Calibri"/>
        <family val="2"/>
      </rPr>
      <t xml:space="preserve">: ranks in the top 10 by total submissions
</t>
    </r>
    <r>
      <rPr>
        <b/>
        <i/>
        <sz val="11"/>
        <color theme="1"/>
        <rFont val="Calibri"/>
        <family val="2"/>
      </rPr>
      <t>High Quality</t>
    </r>
    <r>
      <rPr>
        <i/>
        <sz val="11"/>
        <color theme="1"/>
        <rFont val="Calibri"/>
        <family val="2"/>
      </rPr>
      <t xml:space="preserve">: ranks in the top 5 by Debit 3%
</t>
    </r>
    <r>
      <rPr>
        <b/>
        <i/>
        <sz val="11"/>
        <color theme="1"/>
        <rFont val="Calibri"/>
        <family val="2"/>
      </rPr>
      <t>Low Quality</t>
    </r>
    <r>
      <rPr>
        <i/>
        <sz val="11"/>
        <color theme="1"/>
        <rFont val="Calibri"/>
        <family val="2"/>
      </rPr>
      <t xml:space="preserve">: overall Debit 3% below 65%
</t>
    </r>
    <r>
      <rPr>
        <b/>
        <i/>
        <sz val="11"/>
        <color theme="1"/>
        <rFont val="Calibri"/>
        <family val="2"/>
      </rPr>
      <t>Average:</t>
    </r>
    <r>
      <rPr>
        <i/>
        <sz val="11"/>
        <color theme="1"/>
        <rFont val="Calibri"/>
        <family val="2"/>
      </rPr>
      <t xml:space="preserve"> does not meet any of the above criteria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</si>
</sst>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9"/>
      <color rgb="FF666666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b/>
      <sz val="11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1F3864"/>
      <name val="Arial"/>
      <charset val="1"/>
    </font>
    <font>
      <sz val="9"/>
      <color rgb="FF000000"/>
      <name val="Arial"/>
      <family val="2"/>
    </font>
    <font>
      <sz val="11"/>
      <color rgb="FF003300"/>
      <name val="Calibri"/>
      <family val="2"/>
    </font>
    <font>
      <sz val="11"/>
      <color rgb="FFC00000"/>
      <name val="Calibri"/>
      <family val="2"/>
    </font>
    <font>
      <sz val="11"/>
      <color theme="1"/>
      <name val="Calibri"/>
      <family val="2"/>
    </font>
    <font>
      <sz val="9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BDD7EE"/>
        <bgColor rgb="FFCCCCCC"/>
      </patternFill>
    </fill>
    <fill>
      <patternFill patternType="solid">
        <fgColor rgb="FFEBF5FB"/>
        <bgColor rgb="FFF2F2F2"/>
      </patternFill>
    </fill>
    <fill>
      <patternFill patternType="solid">
        <fgColor rgb="FFFDDBD8"/>
        <bgColor rgb="FFFF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1" fillId="7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0" fillId="0" borderId="0" xfId="0" applyNumberFormat="1"/>
    <xf numFmtId="0" fontId="12" fillId="5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8" fillId="6" borderId="0" xfId="0" applyFont="1" applyFill="1" applyAlignment="1">
      <alignment horizontal="left" vertical="center" inden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sz val="9"/>
        <color rgb="FFCC0000"/>
        <name val="Arial"/>
        <charset val="1"/>
      </font>
      <fill>
        <patternFill>
          <bgColor rgb="FFFFCCCC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BF5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DDBD8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66"/>
      <rgbColor rgb="FFB3B3B3"/>
      <rgbColor rgb="FF1F3864"/>
      <rgbColor rgb="FF00B050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Owner: Submissions vs Final Debit (Debit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'Owner Totals (Pivot)(Task 4)'!$B$3</c:f>
              <c:strCache>
                <c:ptCount val="1"/>
                <c:pt idx="0">
                  <c:v>Total Submissions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'Owner Totals (Pivot)(Task 4)'!$A$4:$A$44</c:f>
              <c:strCache>
                <c:ptCount val="41"/>
                <c:pt idx="0">
                  <c:v>Abhijeet D</c:v>
                </c:pt>
                <c:pt idx="1">
                  <c:v>Adnan Kantawala</c:v>
                </c:pt>
                <c:pt idx="2">
                  <c:v>Ajay M</c:v>
                </c:pt>
                <c:pt idx="3">
                  <c:v>Althaf A</c:v>
                </c:pt>
                <c:pt idx="4">
                  <c:v>Amit B</c:v>
                </c:pt>
                <c:pt idx="5">
                  <c:v>Ankit V</c:v>
                </c:pt>
                <c:pt idx="6">
                  <c:v>Arun Kumar D</c:v>
                </c:pt>
                <c:pt idx="7">
                  <c:v>Arvind S</c:v>
                </c:pt>
                <c:pt idx="8">
                  <c:v>D Dinesh</c:v>
                </c:pt>
                <c:pt idx="9">
                  <c:v>Gargi Y</c:v>
                </c:pt>
                <c:pt idx="10">
                  <c:v>Hamza KMS</c:v>
                </c:pt>
                <c:pt idx="11">
                  <c:v>Jagannathan K</c:v>
                </c:pt>
                <c:pt idx="12">
                  <c:v>K Manoj</c:v>
                </c:pt>
                <c:pt idx="13">
                  <c:v>Karan I</c:v>
                </c:pt>
                <c:pt idx="14">
                  <c:v>Kshitij H</c:v>
                </c:pt>
                <c:pt idx="15">
                  <c:v>Manoj S</c:v>
                </c:pt>
                <c:pt idx="16">
                  <c:v>Mayank S</c:v>
                </c:pt>
                <c:pt idx="17">
                  <c:v>Milind C</c:v>
                </c:pt>
                <c:pt idx="18">
                  <c:v>MILLENNIUM</c:v>
                </c:pt>
                <c:pt idx="19">
                  <c:v>Mohanasundaram R.</c:v>
                </c:pt>
                <c:pt idx="20">
                  <c:v>Mrinal P</c:v>
                </c:pt>
                <c:pt idx="21">
                  <c:v>Nadeem K</c:v>
                </c:pt>
                <c:pt idx="22">
                  <c:v>Paul Babu</c:v>
                </c:pt>
                <c:pt idx="23">
                  <c:v>Pooja D</c:v>
                </c:pt>
                <c:pt idx="24">
                  <c:v>Rayees</c:v>
                </c:pt>
                <c:pt idx="25">
                  <c:v>Rohit R</c:v>
                </c:pt>
                <c:pt idx="26">
                  <c:v>Roshni R</c:v>
                </c:pt>
                <c:pt idx="27">
                  <c:v>Sahil G</c:v>
                </c:pt>
                <c:pt idx="28">
                  <c:v>Sai Lakshmi V</c:v>
                </c:pt>
                <c:pt idx="29">
                  <c:v>Sandhya P</c:v>
                </c:pt>
                <c:pt idx="30">
                  <c:v>Sanjay P</c:v>
                </c:pt>
                <c:pt idx="31">
                  <c:v>Sarabjeet</c:v>
                </c:pt>
                <c:pt idx="32">
                  <c:v>Shreya K</c:v>
                </c:pt>
                <c:pt idx="33">
                  <c:v>Soundar S R</c:v>
                </c:pt>
                <c:pt idx="34">
                  <c:v>Sukesh K</c:v>
                </c:pt>
                <c:pt idx="35">
                  <c:v>Sumitha P</c:v>
                </c:pt>
                <c:pt idx="36">
                  <c:v>Surendran R</c:v>
                </c:pt>
                <c:pt idx="37">
                  <c:v>Tamil V</c:v>
                </c:pt>
                <c:pt idx="38">
                  <c:v>V Ravi Kumar</c:v>
                </c:pt>
                <c:pt idx="39">
                  <c:v>Vijay M K</c:v>
                </c:pt>
                <c:pt idx="40">
                  <c:v>Yash P</c:v>
                </c:pt>
              </c:strCache>
            </c:strRef>
          </c:cat>
          <c:val>
            <c:numRef>
              <c:f>'Owner Totals (Pivot)(Task 4)'!$B$4:$B$44</c:f>
              <c:numCache>
                <c:formatCode>General</c:formatCode>
                <c:ptCount val="41"/>
                <c:pt idx="0">
                  <c:v>236</c:v>
                </c:pt>
                <c:pt idx="1">
                  <c:v>114</c:v>
                </c:pt>
                <c:pt idx="2">
                  <c:v>104</c:v>
                </c:pt>
                <c:pt idx="3">
                  <c:v>424</c:v>
                </c:pt>
                <c:pt idx="4">
                  <c:v>20</c:v>
                </c:pt>
                <c:pt idx="5">
                  <c:v>169</c:v>
                </c:pt>
                <c:pt idx="6">
                  <c:v>272</c:v>
                </c:pt>
                <c:pt idx="7">
                  <c:v>59</c:v>
                </c:pt>
                <c:pt idx="8">
                  <c:v>574</c:v>
                </c:pt>
                <c:pt idx="9">
                  <c:v>75</c:v>
                </c:pt>
                <c:pt idx="10">
                  <c:v>344</c:v>
                </c:pt>
                <c:pt idx="11">
                  <c:v>25</c:v>
                </c:pt>
                <c:pt idx="12">
                  <c:v>44</c:v>
                </c:pt>
                <c:pt idx="13">
                  <c:v>293</c:v>
                </c:pt>
                <c:pt idx="14">
                  <c:v>14</c:v>
                </c:pt>
                <c:pt idx="15">
                  <c:v>158</c:v>
                </c:pt>
                <c:pt idx="16">
                  <c:v>298</c:v>
                </c:pt>
                <c:pt idx="17">
                  <c:v>220</c:v>
                </c:pt>
                <c:pt idx="18">
                  <c:v>332</c:v>
                </c:pt>
                <c:pt idx="19">
                  <c:v>117</c:v>
                </c:pt>
                <c:pt idx="20">
                  <c:v>196</c:v>
                </c:pt>
                <c:pt idx="21">
                  <c:v>242</c:v>
                </c:pt>
                <c:pt idx="22">
                  <c:v>92</c:v>
                </c:pt>
                <c:pt idx="23">
                  <c:v>408</c:v>
                </c:pt>
                <c:pt idx="24">
                  <c:v>270</c:v>
                </c:pt>
                <c:pt idx="25">
                  <c:v>383</c:v>
                </c:pt>
                <c:pt idx="26">
                  <c:v>205</c:v>
                </c:pt>
                <c:pt idx="27">
                  <c:v>202</c:v>
                </c:pt>
                <c:pt idx="28">
                  <c:v>519</c:v>
                </c:pt>
                <c:pt idx="29">
                  <c:v>354</c:v>
                </c:pt>
                <c:pt idx="30">
                  <c:v>75</c:v>
                </c:pt>
                <c:pt idx="31">
                  <c:v>4</c:v>
                </c:pt>
                <c:pt idx="32">
                  <c:v>100</c:v>
                </c:pt>
                <c:pt idx="33">
                  <c:v>135</c:v>
                </c:pt>
                <c:pt idx="34">
                  <c:v>3</c:v>
                </c:pt>
                <c:pt idx="35">
                  <c:v>313</c:v>
                </c:pt>
                <c:pt idx="36">
                  <c:v>536</c:v>
                </c:pt>
                <c:pt idx="37">
                  <c:v>162</c:v>
                </c:pt>
                <c:pt idx="38">
                  <c:v>48</c:v>
                </c:pt>
                <c:pt idx="39">
                  <c:v>286</c:v>
                </c:pt>
                <c:pt idx="40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6-4051-928E-5CEA3C263943}"/>
            </c:ext>
          </c:extLst>
        </c:ser>
        <c:ser>
          <c:idx val="1"/>
          <c:order val="1"/>
          <c:tx>
            <c:strRef>
              <c:f>'Owner Totals (Pivot)(Task 4)'!$E$3</c:f>
              <c:strCache>
                <c:ptCount val="1"/>
                <c:pt idx="0">
                  <c:v>Total Debit 3</c:v>
                </c:pt>
              </c:strCache>
            </c:strRef>
          </c:tx>
          <c:spPr>
            <a:solidFill>
              <a:srgbClr val="00B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'Owner Totals (Pivot)(Task 4)'!$A$4:$A$44</c:f>
              <c:strCache>
                <c:ptCount val="41"/>
                <c:pt idx="0">
                  <c:v>Abhijeet D</c:v>
                </c:pt>
                <c:pt idx="1">
                  <c:v>Adnan Kantawala</c:v>
                </c:pt>
                <c:pt idx="2">
                  <c:v>Ajay M</c:v>
                </c:pt>
                <c:pt idx="3">
                  <c:v>Althaf A</c:v>
                </c:pt>
                <c:pt idx="4">
                  <c:v>Amit B</c:v>
                </c:pt>
                <c:pt idx="5">
                  <c:v>Ankit V</c:v>
                </c:pt>
                <c:pt idx="6">
                  <c:v>Arun Kumar D</c:v>
                </c:pt>
                <c:pt idx="7">
                  <c:v>Arvind S</c:v>
                </c:pt>
                <c:pt idx="8">
                  <c:v>D Dinesh</c:v>
                </c:pt>
                <c:pt idx="9">
                  <c:v>Gargi Y</c:v>
                </c:pt>
                <c:pt idx="10">
                  <c:v>Hamza KMS</c:v>
                </c:pt>
                <c:pt idx="11">
                  <c:v>Jagannathan K</c:v>
                </c:pt>
                <c:pt idx="12">
                  <c:v>K Manoj</c:v>
                </c:pt>
                <c:pt idx="13">
                  <c:v>Karan I</c:v>
                </c:pt>
                <c:pt idx="14">
                  <c:v>Kshitij H</c:v>
                </c:pt>
                <c:pt idx="15">
                  <c:v>Manoj S</c:v>
                </c:pt>
                <c:pt idx="16">
                  <c:v>Mayank S</c:v>
                </c:pt>
                <c:pt idx="17">
                  <c:v>Milind C</c:v>
                </c:pt>
                <c:pt idx="18">
                  <c:v>MILLENNIUM</c:v>
                </c:pt>
                <c:pt idx="19">
                  <c:v>Mohanasundaram R.</c:v>
                </c:pt>
                <c:pt idx="20">
                  <c:v>Mrinal P</c:v>
                </c:pt>
                <c:pt idx="21">
                  <c:v>Nadeem K</c:v>
                </c:pt>
                <c:pt idx="22">
                  <c:v>Paul Babu</c:v>
                </c:pt>
                <c:pt idx="23">
                  <c:v>Pooja D</c:v>
                </c:pt>
                <c:pt idx="24">
                  <c:v>Rayees</c:v>
                </c:pt>
                <c:pt idx="25">
                  <c:v>Rohit R</c:v>
                </c:pt>
                <c:pt idx="26">
                  <c:v>Roshni R</c:v>
                </c:pt>
                <c:pt idx="27">
                  <c:v>Sahil G</c:v>
                </c:pt>
                <c:pt idx="28">
                  <c:v>Sai Lakshmi V</c:v>
                </c:pt>
                <c:pt idx="29">
                  <c:v>Sandhya P</c:v>
                </c:pt>
                <c:pt idx="30">
                  <c:v>Sanjay P</c:v>
                </c:pt>
                <c:pt idx="31">
                  <c:v>Sarabjeet</c:v>
                </c:pt>
                <c:pt idx="32">
                  <c:v>Shreya K</c:v>
                </c:pt>
                <c:pt idx="33">
                  <c:v>Soundar S R</c:v>
                </c:pt>
                <c:pt idx="34">
                  <c:v>Sukesh K</c:v>
                </c:pt>
                <c:pt idx="35">
                  <c:v>Sumitha P</c:v>
                </c:pt>
                <c:pt idx="36">
                  <c:v>Surendran R</c:v>
                </c:pt>
                <c:pt idx="37">
                  <c:v>Tamil V</c:v>
                </c:pt>
                <c:pt idx="38">
                  <c:v>V Ravi Kumar</c:v>
                </c:pt>
                <c:pt idx="39">
                  <c:v>Vijay M K</c:v>
                </c:pt>
                <c:pt idx="40">
                  <c:v>Yash P</c:v>
                </c:pt>
              </c:strCache>
            </c:strRef>
          </c:cat>
          <c:val>
            <c:numRef>
              <c:f>'Owner Totals (Pivot)(Task 4)'!$E$4:$E$44</c:f>
              <c:numCache>
                <c:formatCode>General</c:formatCode>
                <c:ptCount val="41"/>
                <c:pt idx="0">
                  <c:v>183</c:v>
                </c:pt>
                <c:pt idx="1">
                  <c:v>65</c:v>
                </c:pt>
                <c:pt idx="2">
                  <c:v>66</c:v>
                </c:pt>
                <c:pt idx="3">
                  <c:v>240</c:v>
                </c:pt>
                <c:pt idx="4">
                  <c:v>15</c:v>
                </c:pt>
                <c:pt idx="5">
                  <c:v>103</c:v>
                </c:pt>
                <c:pt idx="6">
                  <c:v>192</c:v>
                </c:pt>
                <c:pt idx="7">
                  <c:v>26</c:v>
                </c:pt>
                <c:pt idx="8">
                  <c:v>398</c:v>
                </c:pt>
                <c:pt idx="9">
                  <c:v>50</c:v>
                </c:pt>
                <c:pt idx="10">
                  <c:v>211</c:v>
                </c:pt>
                <c:pt idx="11">
                  <c:v>17</c:v>
                </c:pt>
                <c:pt idx="12">
                  <c:v>32</c:v>
                </c:pt>
                <c:pt idx="13">
                  <c:v>170</c:v>
                </c:pt>
                <c:pt idx="14">
                  <c:v>10</c:v>
                </c:pt>
                <c:pt idx="15">
                  <c:v>113</c:v>
                </c:pt>
                <c:pt idx="16">
                  <c:v>199</c:v>
                </c:pt>
                <c:pt idx="17">
                  <c:v>153</c:v>
                </c:pt>
                <c:pt idx="18">
                  <c:v>266</c:v>
                </c:pt>
                <c:pt idx="19">
                  <c:v>77</c:v>
                </c:pt>
                <c:pt idx="20">
                  <c:v>157</c:v>
                </c:pt>
                <c:pt idx="21">
                  <c:v>179</c:v>
                </c:pt>
                <c:pt idx="22">
                  <c:v>72</c:v>
                </c:pt>
                <c:pt idx="23">
                  <c:v>249</c:v>
                </c:pt>
                <c:pt idx="24">
                  <c:v>231</c:v>
                </c:pt>
                <c:pt idx="25">
                  <c:v>253</c:v>
                </c:pt>
                <c:pt idx="26">
                  <c:v>117</c:v>
                </c:pt>
                <c:pt idx="27">
                  <c:v>139</c:v>
                </c:pt>
                <c:pt idx="28">
                  <c:v>392</c:v>
                </c:pt>
                <c:pt idx="29">
                  <c:v>245</c:v>
                </c:pt>
                <c:pt idx="30">
                  <c:v>49</c:v>
                </c:pt>
                <c:pt idx="31">
                  <c:v>1</c:v>
                </c:pt>
                <c:pt idx="32">
                  <c:v>65</c:v>
                </c:pt>
                <c:pt idx="33">
                  <c:v>104</c:v>
                </c:pt>
                <c:pt idx="34">
                  <c:v>0</c:v>
                </c:pt>
                <c:pt idx="35">
                  <c:v>209</c:v>
                </c:pt>
                <c:pt idx="36">
                  <c:v>356</c:v>
                </c:pt>
                <c:pt idx="37">
                  <c:v>118</c:v>
                </c:pt>
                <c:pt idx="38">
                  <c:v>28</c:v>
                </c:pt>
                <c:pt idx="39">
                  <c:v>182</c:v>
                </c:pt>
                <c:pt idx="4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6-4051-928E-5CEA3C26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16820"/>
        <c:axId val="4991174"/>
      </c:barChart>
      <c:catAx>
        <c:axId val="67816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Owner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1174"/>
        <c:crosses val="autoZero"/>
        <c:auto val="1"/>
        <c:lblAlgn val="ctr"/>
        <c:lblOffset val="100"/>
        <c:noMultiLvlLbl val="0"/>
      </c:catAx>
      <c:valAx>
        <c:axId val="49911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8168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12</xdr:col>
      <xdr:colOff>152400</xdr:colOff>
      <xdr:row>73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7"/>
  <sheetViews>
    <sheetView tabSelected="1" zoomScaleNormal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H16" sqref="H16"/>
    </sheetView>
  </sheetViews>
  <sheetFormatPr defaultColWidth="8.7109375" defaultRowHeight="15" x14ac:dyDescent="0.25"/>
  <cols>
    <col min="1" max="1" width="22" customWidth="1"/>
    <col min="2" max="2" width="11" customWidth="1"/>
    <col min="3" max="3" width="12" customWidth="1"/>
    <col min="4" max="4" width="19.140625" customWidth="1"/>
    <col min="5" max="7" width="10" customWidth="1"/>
    <col min="8" max="8" width="17.140625" customWidth="1"/>
    <col min="9" max="9" width="27.42578125" customWidth="1"/>
    <col min="11" max="11" width="0" hidden="1" customWidth="1"/>
  </cols>
  <sheetData>
    <row r="1" spans="1:11" ht="27.7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K1" s="21">
        <f>AVERAGE(H4:H274)</f>
        <v>0.69840473021987604</v>
      </c>
    </row>
    <row r="2" spans="1:11" ht="21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1" ht="15" customHeight="1" x14ac:dyDescent="0.25">
      <c r="A3" s="6" t="s">
        <v>10</v>
      </c>
      <c r="B3" s="7" t="s">
        <v>18</v>
      </c>
      <c r="C3" s="7">
        <v>1</v>
      </c>
      <c r="D3" s="8">
        <f>IFERROR(C3/'Owner Totals (Pivot)(Task 4)'!B4,"")</f>
        <v>4.2372881355932203E-3</v>
      </c>
      <c r="E3" s="7">
        <v>1</v>
      </c>
      <c r="F3" s="7">
        <v>1</v>
      </c>
      <c r="G3" s="7">
        <v>0</v>
      </c>
      <c r="H3" s="8">
        <f>IFERROR(G3/C3,"")</f>
        <v>0</v>
      </c>
      <c r="I3" s="7"/>
      <c r="K3">
        <f t="shared" ref="K3:K66" si="0">SUMPRODUCT(MAX(($A$4:$A$274=A3)*$D$4:$D$274))</f>
        <v>0.22033898305084745</v>
      </c>
    </row>
    <row r="4" spans="1:11" ht="15" customHeight="1" x14ac:dyDescent="0.25">
      <c r="A4" s="3" t="s">
        <v>10</v>
      </c>
      <c r="B4" s="4" t="s">
        <v>11</v>
      </c>
      <c r="C4" s="4">
        <v>52</v>
      </c>
      <c r="D4" s="5">
        <f>IFERROR(C4/'Owner Totals (Pivot)(Task 4)'!B4,"")</f>
        <v>0.22033898305084745</v>
      </c>
      <c r="E4" s="4">
        <v>49</v>
      </c>
      <c r="F4" s="4">
        <v>40</v>
      </c>
      <c r="G4" s="4">
        <v>38</v>
      </c>
      <c r="H4" s="5">
        <f>IFERROR(G4/C4,"")</f>
        <v>0.73076923076923073</v>
      </c>
      <c r="I4" s="4" t="s">
        <v>77</v>
      </c>
      <c r="K4">
        <f t="shared" si="0"/>
        <v>0.22033898305084745</v>
      </c>
    </row>
    <row r="5" spans="1:11" ht="15" customHeight="1" x14ac:dyDescent="0.25">
      <c r="A5" s="6" t="s">
        <v>10</v>
      </c>
      <c r="B5" s="7" t="s">
        <v>12</v>
      </c>
      <c r="C5" s="7">
        <v>27</v>
      </c>
      <c r="D5" s="8">
        <f>IFERROR(C5/'Owner Totals (Pivot)(Task 4)'!B4,"")</f>
        <v>0.11440677966101695</v>
      </c>
      <c r="E5" s="7">
        <v>22</v>
      </c>
      <c r="F5" s="7">
        <v>20</v>
      </c>
      <c r="G5" s="7">
        <v>19</v>
      </c>
      <c r="H5" s="8">
        <f t="shared" ref="H5:H66" si="1">IFERROR(G5/C5,"")</f>
        <v>0.70370370370370372</v>
      </c>
      <c r="I5" s="7"/>
      <c r="K5">
        <f t="shared" si="0"/>
        <v>0.22033898305084745</v>
      </c>
    </row>
    <row r="6" spans="1:11" ht="15" customHeight="1" x14ac:dyDescent="0.25">
      <c r="A6" s="3" t="s">
        <v>10</v>
      </c>
      <c r="B6" s="4" t="s">
        <v>13</v>
      </c>
      <c r="C6" s="4">
        <v>50</v>
      </c>
      <c r="D6" s="5">
        <f>IFERROR(C6/'Owner Totals (Pivot)(Task 4)'!B4,"")</f>
        <v>0.21186440677966101</v>
      </c>
      <c r="E6" s="4">
        <v>46</v>
      </c>
      <c r="F6" s="4">
        <v>38</v>
      </c>
      <c r="G6" s="4">
        <v>38</v>
      </c>
      <c r="H6" s="5">
        <f t="shared" si="1"/>
        <v>0.76</v>
      </c>
      <c r="I6" s="4"/>
      <c r="K6">
        <f t="shared" si="0"/>
        <v>0.22033898305084745</v>
      </c>
    </row>
    <row r="7" spans="1:11" ht="15" customHeight="1" x14ac:dyDescent="0.25">
      <c r="A7" s="6" t="s">
        <v>10</v>
      </c>
      <c r="B7" s="7" t="s">
        <v>14</v>
      </c>
      <c r="C7" s="7">
        <v>38</v>
      </c>
      <c r="D7" s="8">
        <f>IFERROR(C7/'Owner Totals (Pivot)(Task 4)'!B4,"")</f>
        <v>0.16101694915254236</v>
      </c>
      <c r="E7" s="7">
        <v>37</v>
      </c>
      <c r="F7" s="7">
        <v>35</v>
      </c>
      <c r="G7" s="7">
        <v>34</v>
      </c>
      <c r="H7" s="8">
        <f t="shared" si="1"/>
        <v>0.89473684210526316</v>
      </c>
      <c r="I7" s="7"/>
      <c r="K7">
        <f t="shared" si="0"/>
        <v>0.22033898305084745</v>
      </c>
    </row>
    <row r="8" spans="1:11" ht="15" customHeight="1" x14ac:dyDescent="0.25">
      <c r="A8" s="3" t="s">
        <v>10</v>
      </c>
      <c r="B8" s="4" t="s">
        <v>15</v>
      </c>
      <c r="C8" s="4">
        <v>38</v>
      </c>
      <c r="D8" s="5">
        <f>IFERROR(C8/'Owner Totals (Pivot)(Task 4)'!B4,"")</f>
        <v>0.16101694915254236</v>
      </c>
      <c r="E8" s="4">
        <v>33</v>
      </c>
      <c r="F8" s="4">
        <v>28</v>
      </c>
      <c r="G8" s="4">
        <v>27</v>
      </c>
      <c r="H8" s="5">
        <f t="shared" si="1"/>
        <v>0.71052631578947367</v>
      </c>
      <c r="I8" s="4"/>
      <c r="K8">
        <f t="shared" si="0"/>
        <v>0.22033898305084745</v>
      </c>
    </row>
    <row r="9" spans="1:11" ht="15" customHeight="1" x14ac:dyDescent="0.25">
      <c r="A9" s="6" t="s">
        <v>10</v>
      </c>
      <c r="B9" s="7" t="s">
        <v>16</v>
      </c>
      <c r="C9" s="7">
        <v>17</v>
      </c>
      <c r="D9" s="8">
        <f>IFERROR(C9/'Owner Totals (Pivot)(Task 4)'!B4,"")</f>
        <v>7.2033898305084748E-2</v>
      </c>
      <c r="E9" s="7">
        <v>14</v>
      </c>
      <c r="F9" s="7">
        <v>13</v>
      </c>
      <c r="G9" s="7">
        <v>13</v>
      </c>
      <c r="H9" s="8">
        <f t="shared" si="1"/>
        <v>0.76470588235294112</v>
      </c>
      <c r="I9" s="7"/>
      <c r="K9">
        <f t="shared" si="0"/>
        <v>0.22033898305084745</v>
      </c>
    </row>
    <row r="10" spans="1:11" ht="15" customHeight="1" x14ac:dyDescent="0.25">
      <c r="A10" s="3" t="s">
        <v>10</v>
      </c>
      <c r="B10" s="4" t="s">
        <v>17</v>
      </c>
      <c r="C10" s="4">
        <v>14</v>
      </c>
      <c r="D10" s="5">
        <f>IFERROR(C10/'Owner Totals (Pivot)(Task 4)'!B4,"")</f>
        <v>5.9322033898305086E-2</v>
      </c>
      <c r="E10" s="4">
        <v>14</v>
      </c>
      <c r="F10" s="4">
        <v>14</v>
      </c>
      <c r="G10" s="4">
        <v>14</v>
      </c>
      <c r="H10" s="5">
        <f t="shared" si="1"/>
        <v>1</v>
      </c>
      <c r="I10" s="4"/>
      <c r="K10">
        <f t="shared" si="0"/>
        <v>0.22033898305084745</v>
      </c>
    </row>
    <row r="11" spans="1:11" ht="15" customHeight="1" x14ac:dyDescent="0.25">
      <c r="A11" s="3" t="s">
        <v>19</v>
      </c>
      <c r="B11" s="4" t="s">
        <v>11</v>
      </c>
      <c r="C11" s="4">
        <v>20</v>
      </c>
      <c r="D11" s="5">
        <f>IFERROR(C11/'Owner Totals (Pivot)(Task 4)'!B5,"")</f>
        <v>0.17543859649122806</v>
      </c>
      <c r="E11" s="4">
        <v>16</v>
      </c>
      <c r="F11" s="4">
        <v>11</v>
      </c>
      <c r="G11" s="4">
        <v>10</v>
      </c>
      <c r="H11" s="5">
        <f t="shared" si="1"/>
        <v>0.5</v>
      </c>
      <c r="I11" s="23" t="s">
        <v>79</v>
      </c>
      <c r="K11">
        <f t="shared" si="0"/>
        <v>0.27192982456140352</v>
      </c>
    </row>
    <row r="12" spans="1:11" ht="15" customHeight="1" x14ac:dyDescent="0.25">
      <c r="A12" s="6" t="s">
        <v>19</v>
      </c>
      <c r="B12" s="7" t="s">
        <v>12</v>
      </c>
      <c r="C12" s="7">
        <v>15</v>
      </c>
      <c r="D12" s="8">
        <f>IFERROR(C12/'Owner Totals (Pivot)(Task 4)'!B5,"")</f>
        <v>0.13157894736842105</v>
      </c>
      <c r="E12" s="7">
        <v>11</v>
      </c>
      <c r="F12" s="7">
        <v>8</v>
      </c>
      <c r="G12" s="7">
        <v>7</v>
      </c>
      <c r="H12" s="8">
        <f t="shared" si="1"/>
        <v>0.46666666666666667</v>
      </c>
      <c r="I12" s="7"/>
      <c r="K12">
        <f t="shared" si="0"/>
        <v>0.27192982456140352</v>
      </c>
    </row>
    <row r="13" spans="1:11" ht="15" customHeight="1" x14ac:dyDescent="0.25">
      <c r="A13" s="3" t="s">
        <v>19</v>
      </c>
      <c r="B13" s="4" t="s">
        <v>13</v>
      </c>
      <c r="C13" s="4">
        <v>31</v>
      </c>
      <c r="D13" s="5">
        <f>IFERROR(C13/'Owner Totals (Pivot)(Task 4)'!B5,"")</f>
        <v>0.27192982456140352</v>
      </c>
      <c r="E13" s="4">
        <v>23</v>
      </c>
      <c r="F13" s="4">
        <v>17</v>
      </c>
      <c r="G13" s="4">
        <v>17</v>
      </c>
      <c r="H13" s="5">
        <f t="shared" si="1"/>
        <v>0.54838709677419351</v>
      </c>
      <c r="I13" s="4"/>
      <c r="K13">
        <f t="shared" si="0"/>
        <v>0.27192982456140352</v>
      </c>
    </row>
    <row r="14" spans="1:11" ht="15" customHeight="1" x14ac:dyDescent="0.25">
      <c r="A14" s="6" t="s">
        <v>19</v>
      </c>
      <c r="B14" s="7" t="s">
        <v>14</v>
      </c>
      <c r="C14" s="7">
        <v>16</v>
      </c>
      <c r="D14" s="8">
        <f>IFERROR(C14/'Owner Totals (Pivot)(Task 4)'!B5,"")</f>
        <v>0.14035087719298245</v>
      </c>
      <c r="E14" s="7">
        <v>13</v>
      </c>
      <c r="F14" s="7">
        <v>11</v>
      </c>
      <c r="G14" s="7">
        <v>8</v>
      </c>
      <c r="H14" s="8">
        <f t="shared" si="1"/>
        <v>0.5</v>
      </c>
      <c r="I14" s="7"/>
      <c r="K14">
        <f t="shared" si="0"/>
        <v>0.27192982456140352</v>
      </c>
    </row>
    <row r="15" spans="1:11" ht="15" customHeight="1" x14ac:dyDescent="0.25">
      <c r="A15" s="3" t="s">
        <v>19</v>
      </c>
      <c r="B15" s="4" t="s">
        <v>15</v>
      </c>
      <c r="C15" s="4">
        <v>15</v>
      </c>
      <c r="D15" s="5">
        <f>IFERROR(C15/'Owner Totals (Pivot)(Task 4)'!B5,"")</f>
        <v>0.13157894736842105</v>
      </c>
      <c r="E15" s="4">
        <v>14</v>
      </c>
      <c r="F15" s="4">
        <v>14</v>
      </c>
      <c r="G15" s="4">
        <v>9</v>
      </c>
      <c r="H15" s="5">
        <f t="shared" si="1"/>
        <v>0.6</v>
      </c>
      <c r="I15" s="4"/>
      <c r="K15">
        <f t="shared" si="0"/>
        <v>0.27192982456140352</v>
      </c>
    </row>
    <row r="16" spans="1:11" ht="15" customHeight="1" x14ac:dyDescent="0.25">
      <c r="A16" s="6" t="s">
        <v>19</v>
      </c>
      <c r="B16" s="7" t="s">
        <v>16</v>
      </c>
      <c r="C16" s="7">
        <v>7</v>
      </c>
      <c r="D16" s="8">
        <f>IFERROR(C16/'Owner Totals (Pivot)(Task 4)'!B5,"")</f>
        <v>6.1403508771929821E-2</v>
      </c>
      <c r="E16" s="7">
        <v>7</v>
      </c>
      <c r="F16" s="7">
        <v>7</v>
      </c>
      <c r="G16" s="7">
        <v>6</v>
      </c>
      <c r="H16" s="8">
        <f t="shared" si="1"/>
        <v>0.8571428571428571</v>
      </c>
      <c r="I16" s="7"/>
      <c r="K16">
        <f t="shared" si="0"/>
        <v>0.27192982456140352</v>
      </c>
    </row>
    <row r="17" spans="1:11" ht="15" customHeight="1" x14ac:dyDescent="0.25">
      <c r="A17" s="3" t="s">
        <v>19</v>
      </c>
      <c r="B17" s="4" t="s">
        <v>17</v>
      </c>
      <c r="C17" s="4">
        <v>10</v>
      </c>
      <c r="D17" s="5">
        <f>IFERROR(C17/'Owner Totals (Pivot)(Task 4)'!B5,"")</f>
        <v>8.771929824561403E-2</v>
      </c>
      <c r="E17" s="4">
        <v>9</v>
      </c>
      <c r="F17" s="4">
        <v>8</v>
      </c>
      <c r="G17" s="4">
        <v>8</v>
      </c>
      <c r="H17" s="5">
        <f t="shared" si="1"/>
        <v>0.8</v>
      </c>
      <c r="I17" s="4"/>
      <c r="K17">
        <f t="shared" si="0"/>
        <v>0.27192982456140352</v>
      </c>
    </row>
    <row r="18" spans="1:11" ht="15" customHeight="1" x14ac:dyDescent="0.25">
      <c r="A18" s="6" t="s">
        <v>20</v>
      </c>
      <c r="B18" s="7" t="s">
        <v>18</v>
      </c>
      <c r="C18" s="7">
        <v>1</v>
      </c>
      <c r="D18" s="8">
        <f>IFERROR(C18/'Owner Totals (Pivot)(Task 4)'!B6,"")</f>
        <v>9.6153846153846159E-3</v>
      </c>
      <c r="E18" s="7">
        <v>1</v>
      </c>
      <c r="F18" s="7">
        <v>0</v>
      </c>
      <c r="G18" s="7">
        <v>0</v>
      </c>
      <c r="H18" s="8">
        <f>IFERROR(G18/C18,"")</f>
        <v>0</v>
      </c>
      <c r="I18" s="7"/>
      <c r="K18">
        <f t="shared" si="0"/>
        <v>0.36538461538461536</v>
      </c>
    </row>
    <row r="19" spans="1:11" ht="15" customHeight="1" x14ac:dyDescent="0.25">
      <c r="A19" s="6" t="s">
        <v>20</v>
      </c>
      <c r="B19" s="7" t="s">
        <v>11</v>
      </c>
      <c r="C19" s="7">
        <v>38</v>
      </c>
      <c r="D19" s="8">
        <f>IFERROR(C19/'Owner Totals (Pivot)(Task 4)'!B6,"")</f>
        <v>0.36538461538461536</v>
      </c>
      <c r="E19" s="7">
        <v>30</v>
      </c>
      <c r="F19" s="7">
        <v>20</v>
      </c>
      <c r="G19" s="7">
        <v>19</v>
      </c>
      <c r="H19" s="8">
        <f t="shared" si="1"/>
        <v>0.5</v>
      </c>
      <c r="I19" s="23" t="s">
        <v>79</v>
      </c>
      <c r="K19">
        <f t="shared" si="0"/>
        <v>0.36538461538461536</v>
      </c>
    </row>
    <row r="20" spans="1:11" ht="15" customHeight="1" x14ac:dyDescent="0.25">
      <c r="A20" s="3" t="s">
        <v>20</v>
      </c>
      <c r="B20" s="4" t="s">
        <v>12</v>
      </c>
      <c r="C20" s="4">
        <v>12</v>
      </c>
      <c r="D20" s="5">
        <f>IFERROR(C20/'Owner Totals (Pivot)(Task 4)'!B6,"")</f>
        <v>0.11538461538461539</v>
      </c>
      <c r="E20" s="4">
        <v>10</v>
      </c>
      <c r="F20" s="4">
        <v>9</v>
      </c>
      <c r="G20" s="4">
        <v>7</v>
      </c>
      <c r="H20" s="5">
        <f t="shared" si="1"/>
        <v>0.58333333333333337</v>
      </c>
      <c r="I20" s="4"/>
      <c r="K20">
        <f t="shared" si="0"/>
        <v>0.36538461538461536</v>
      </c>
    </row>
    <row r="21" spans="1:11" ht="15" customHeight="1" x14ac:dyDescent="0.25">
      <c r="A21" s="6" t="s">
        <v>20</v>
      </c>
      <c r="B21" s="7" t="s">
        <v>13</v>
      </c>
      <c r="C21" s="7">
        <v>32</v>
      </c>
      <c r="D21" s="8">
        <f>IFERROR(C21/'Owner Totals (Pivot)(Task 4)'!B6,"")</f>
        <v>0.30769230769230771</v>
      </c>
      <c r="E21" s="7">
        <v>29</v>
      </c>
      <c r="F21" s="7">
        <v>25</v>
      </c>
      <c r="G21" s="7">
        <v>25</v>
      </c>
      <c r="H21" s="8">
        <f t="shared" si="1"/>
        <v>0.78125</v>
      </c>
      <c r="I21" s="7"/>
      <c r="K21">
        <f t="shared" si="0"/>
        <v>0.36538461538461536</v>
      </c>
    </row>
    <row r="22" spans="1:11" ht="15" customHeight="1" x14ac:dyDescent="0.25">
      <c r="A22" s="3" t="s">
        <v>20</v>
      </c>
      <c r="B22" s="4" t="s">
        <v>14</v>
      </c>
      <c r="C22" s="4">
        <v>13</v>
      </c>
      <c r="D22" s="5">
        <f>IFERROR(C22/'Owner Totals (Pivot)(Task 4)'!B6,"")</f>
        <v>0.125</v>
      </c>
      <c r="E22" s="4">
        <v>10</v>
      </c>
      <c r="F22" s="4">
        <v>9</v>
      </c>
      <c r="G22" s="4">
        <v>8</v>
      </c>
      <c r="H22" s="5">
        <f t="shared" si="1"/>
        <v>0.61538461538461542</v>
      </c>
      <c r="I22" s="4"/>
      <c r="K22">
        <f t="shared" si="0"/>
        <v>0.36538461538461536</v>
      </c>
    </row>
    <row r="23" spans="1:11" ht="15" customHeight="1" x14ac:dyDescent="0.25">
      <c r="A23" s="6" t="s">
        <v>20</v>
      </c>
      <c r="B23" s="7" t="s">
        <v>15</v>
      </c>
      <c r="C23" s="7">
        <v>5</v>
      </c>
      <c r="D23" s="8">
        <f>IFERROR(C23/'Owner Totals (Pivot)(Task 4)'!B6,"")</f>
        <v>4.807692307692308E-2</v>
      </c>
      <c r="E23" s="7">
        <v>5</v>
      </c>
      <c r="F23" s="7">
        <v>5</v>
      </c>
      <c r="G23" s="7">
        <v>5</v>
      </c>
      <c r="H23" s="8">
        <f t="shared" si="1"/>
        <v>1</v>
      </c>
      <c r="I23" s="7"/>
      <c r="K23">
        <f t="shared" si="0"/>
        <v>0.36538461538461536</v>
      </c>
    </row>
    <row r="24" spans="1:11" ht="15" customHeight="1" x14ac:dyDescent="0.25">
      <c r="A24" s="3" t="s">
        <v>20</v>
      </c>
      <c r="B24" s="4" t="s">
        <v>16</v>
      </c>
      <c r="C24" s="4">
        <v>3</v>
      </c>
      <c r="D24" s="5">
        <f>IFERROR(C24/'Owner Totals (Pivot)(Task 4)'!B6,"")</f>
        <v>2.8846153846153848E-2</v>
      </c>
      <c r="E24" s="4">
        <v>2</v>
      </c>
      <c r="F24" s="4">
        <v>2</v>
      </c>
      <c r="G24" s="4">
        <v>2</v>
      </c>
      <c r="H24" s="5">
        <f t="shared" si="1"/>
        <v>0.66666666666666663</v>
      </c>
      <c r="I24" s="4"/>
      <c r="K24">
        <f t="shared" si="0"/>
        <v>0.36538461538461536</v>
      </c>
    </row>
    <row r="25" spans="1:11" ht="15" customHeight="1" x14ac:dyDescent="0.25">
      <c r="A25" s="6" t="s">
        <v>21</v>
      </c>
      <c r="B25" s="7" t="s">
        <v>18</v>
      </c>
      <c r="C25" s="7">
        <v>1</v>
      </c>
      <c r="D25" s="8">
        <f>IFERROR(C25/'Owner Totals (Pivot)(Task 4)'!B7,"")</f>
        <v>2.3584905660377358E-3</v>
      </c>
      <c r="E25" s="7">
        <v>0</v>
      </c>
      <c r="F25" s="7">
        <v>0</v>
      </c>
      <c r="G25" s="7">
        <v>0</v>
      </c>
      <c r="H25" s="8">
        <f>IFERROR(G25/C25,"")</f>
        <v>0</v>
      </c>
      <c r="I25" s="7"/>
      <c r="K25">
        <f t="shared" si="0"/>
        <v>0.28066037735849059</v>
      </c>
    </row>
    <row r="26" spans="1:11" ht="15" customHeight="1" x14ac:dyDescent="0.25">
      <c r="A26" s="3" t="s">
        <v>21</v>
      </c>
      <c r="B26" s="4" t="s">
        <v>11</v>
      </c>
      <c r="C26" s="4">
        <v>118</v>
      </c>
      <c r="D26" s="5">
        <f>IFERROR(C26/'Owner Totals (Pivot)(Task 4)'!B7,"")</f>
        <v>0.27830188679245282</v>
      </c>
      <c r="E26" s="4">
        <v>84</v>
      </c>
      <c r="F26" s="4">
        <v>68</v>
      </c>
      <c r="G26" s="4">
        <v>58</v>
      </c>
      <c r="H26" s="5">
        <f t="shared" si="1"/>
        <v>0.49152542372881358</v>
      </c>
      <c r="I26" s="23" t="s">
        <v>79</v>
      </c>
      <c r="K26">
        <f t="shared" si="0"/>
        <v>0.28066037735849059</v>
      </c>
    </row>
    <row r="27" spans="1:11" ht="15" customHeight="1" x14ac:dyDescent="0.25">
      <c r="A27" s="6" t="s">
        <v>21</v>
      </c>
      <c r="B27" s="7" t="s">
        <v>12</v>
      </c>
      <c r="C27" s="7">
        <v>68</v>
      </c>
      <c r="D27" s="8">
        <f>IFERROR(C27/'Owner Totals (Pivot)(Task 4)'!B7,"")</f>
        <v>0.16037735849056603</v>
      </c>
      <c r="E27" s="7">
        <v>47</v>
      </c>
      <c r="F27" s="7">
        <v>39</v>
      </c>
      <c r="G27" s="7">
        <v>31</v>
      </c>
      <c r="H27" s="8">
        <f t="shared" si="1"/>
        <v>0.45588235294117646</v>
      </c>
      <c r="I27" s="7"/>
      <c r="K27">
        <f t="shared" si="0"/>
        <v>0.28066037735849059</v>
      </c>
    </row>
    <row r="28" spans="1:11" ht="15" customHeight="1" x14ac:dyDescent="0.25">
      <c r="A28" s="3" t="s">
        <v>21</v>
      </c>
      <c r="B28" s="4" t="s">
        <v>13</v>
      </c>
      <c r="C28" s="4">
        <v>119</v>
      </c>
      <c r="D28" s="5">
        <f>IFERROR(C28/'Owner Totals (Pivot)(Task 4)'!B7,"")</f>
        <v>0.28066037735849059</v>
      </c>
      <c r="E28" s="4">
        <v>98</v>
      </c>
      <c r="F28" s="4">
        <v>74</v>
      </c>
      <c r="G28" s="4">
        <v>72</v>
      </c>
      <c r="H28" s="5">
        <f t="shared" si="1"/>
        <v>0.60504201680672265</v>
      </c>
      <c r="I28" s="4"/>
      <c r="K28">
        <f t="shared" si="0"/>
        <v>0.28066037735849059</v>
      </c>
    </row>
    <row r="29" spans="1:11" ht="15" customHeight="1" x14ac:dyDescent="0.25">
      <c r="A29" s="6" t="s">
        <v>21</v>
      </c>
      <c r="B29" s="7" t="s">
        <v>14</v>
      </c>
      <c r="C29" s="7">
        <v>62</v>
      </c>
      <c r="D29" s="8">
        <f>IFERROR(C29/'Owner Totals (Pivot)(Task 4)'!B7,"")</f>
        <v>0.14622641509433962</v>
      </c>
      <c r="E29" s="7">
        <v>49</v>
      </c>
      <c r="F29" s="7">
        <v>42</v>
      </c>
      <c r="G29" s="7">
        <v>41</v>
      </c>
      <c r="H29" s="8">
        <f t="shared" si="1"/>
        <v>0.66129032258064513</v>
      </c>
      <c r="I29" s="7"/>
      <c r="K29">
        <f t="shared" si="0"/>
        <v>0.28066037735849059</v>
      </c>
    </row>
    <row r="30" spans="1:11" ht="15" customHeight="1" x14ac:dyDescent="0.25">
      <c r="A30" s="3" t="s">
        <v>21</v>
      </c>
      <c r="B30" s="4" t="s">
        <v>15</v>
      </c>
      <c r="C30" s="4">
        <v>26</v>
      </c>
      <c r="D30" s="5">
        <f>IFERROR(C30/'Owner Totals (Pivot)(Task 4)'!B7,"")</f>
        <v>6.1320754716981132E-2</v>
      </c>
      <c r="E30" s="4">
        <v>22</v>
      </c>
      <c r="F30" s="4">
        <v>20</v>
      </c>
      <c r="G30" s="4">
        <v>18</v>
      </c>
      <c r="H30" s="5">
        <f t="shared" si="1"/>
        <v>0.69230769230769229</v>
      </c>
      <c r="I30" s="4"/>
      <c r="K30">
        <f t="shared" si="0"/>
        <v>0.28066037735849059</v>
      </c>
    </row>
    <row r="31" spans="1:11" ht="15" customHeight="1" x14ac:dyDescent="0.25">
      <c r="A31" s="6" t="s">
        <v>21</v>
      </c>
      <c r="B31" s="7" t="s">
        <v>16</v>
      </c>
      <c r="C31" s="7">
        <v>20</v>
      </c>
      <c r="D31" s="8">
        <f>IFERROR(C31/'Owner Totals (Pivot)(Task 4)'!B7,"")</f>
        <v>4.716981132075472E-2</v>
      </c>
      <c r="E31" s="7">
        <v>18</v>
      </c>
      <c r="F31" s="7">
        <v>16</v>
      </c>
      <c r="G31" s="7">
        <v>15</v>
      </c>
      <c r="H31" s="8">
        <f t="shared" si="1"/>
        <v>0.75</v>
      </c>
      <c r="I31" s="7"/>
      <c r="K31">
        <f t="shared" si="0"/>
        <v>0.28066037735849059</v>
      </c>
    </row>
    <row r="32" spans="1:11" ht="15" customHeight="1" x14ac:dyDescent="0.25">
      <c r="A32" s="3" t="s">
        <v>21</v>
      </c>
      <c r="B32" s="4" t="s">
        <v>17</v>
      </c>
      <c r="C32" s="4">
        <v>10</v>
      </c>
      <c r="D32" s="5">
        <f>IFERROR(C32/'Owner Totals (Pivot)(Task 4)'!B7,"")</f>
        <v>2.358490566037736E-2</v>
      </c>
      <c r="E32" s="4">
        <v>8</v>
      </c>
      <c r="F32" s="4">
        <v>7</v>
      </c>
      <c r="G32" s="4">
        <v>5</v>
      </c>
      <c r="H32" s="5">
        <f t="shared" si="1"/>
        <v>0.5</v>
      </c>
      <c r="I32" s="4"/>
      <c r="K32">
        <f t="shared" si="0"/>
        <v>0.28066037735849059</v>
      </c>
    </row>
    <row r="33" spans="1:11" ht="15" customHeight="1" x14ac:dyDescent="0.25">
      <c r="A33" s="3" t="s">
        <v>22</v>
      </c>
      <c r="B33" s="4" t="s">
        <v>11</v>
      </c>
      <c r="C33" s="4">
        <v>6</v>
      </c>
      <c r="D33" s="5">
        <f>IFERROR(C33/'Owner Totals (Pivot)(Task 4)'!B8,"")</f>
        <v>0.3</v>
      </c>
      <c r="E33" s="4">
        <v>3</v>
      </c>
      <c r="F33" s="4">
        <v>3</v>
      </c>
      <c r="G33" s="4">
        <v>3</v>
      </c>
      <c r="H33" s="5">
        <f t="shared" si="1"/>
        <v>0.5</v>
      </c>
      <c r="I33" s="23" t="s">
        <v>79</v>
      </c>
      <c r="K33">
        <f t="shared" si="0"/>
        <v>0.35</v>
      </c>
    </row>
    <row r="34" spans="1:11" ht="15" customHeight="1" x14ac:dyDescent="0.25">
      <c r="A34" s="6" t="s">
        <v>22</v>
      </c>
      <c r="B34" s="7" t="s">
        <v>12</v>
      </c>
      <c r="C34" s="7">
        <v>2</v>
      </c>
      <c r="D34" s="8">
        <f>IFERROR(C34/'Owner Totals (Pivot)(Task 4)'!B8,"")</f>
        <v>0.1</v>
      </c>
      <c r="E34" s="7">
        <v>2</v>
      </c>
      <c r="F34" s="7">
        <v>2</v>
      </c>
      <c r="G34" s="7">
        <v>2</v>
      </c>
      <c r="H34" s="8">
        <f t="shared" si="1"/>
        <v>1</v>
      </c>
      <c r="I34" s="7"/>
      <c r="K34">
        <f t="shared" si="0"/>
        <v>0.35</v>
      </c>
    </row>
    <row r="35" spans="1:11" ht="15" customHeight="1" x14ac:dyDescent="0.25">
      <c r="A35" s="3" t="s">
        <v>22</v>
      </c>
      <c r="B35" s="4" t="s">
        <v>13</v>
      </c>
      <c r="C35" s="4">
        <v>7</v>
      </c>
      <c r="D35" s="5">
        <f>IFERROR(C35/'Owner Totals (Pivot)(Task 4)'!B8,"")</f>
        <v>0.35</v>
      </c>
      <c r="E35" s="4">
        <v>6</v>
      </c>
      <c r="F35" s="4">
        <v>5</v>
      </c>
      <c r="G35" s="4">
        <v>5</v>
      </c>
      <c r="H35" s="5">
        <f t="shared" si="1"/>
        <v>0.7142857142857143</v>
      </c>
      <c r="I35" s="4"/>
      <c r="K35">
        <f t="shared" si="0"/>
        <v>0.35</v>
      </c>
    </row>
    <row r="36" spans="1:11" ht="15" customHeight="1" x14ac:dyDescent="0.25">
      <c r="A36" s="6" t="s">
        <v>22</v>
      </c>
      <c r="B36" s="7" t="s">
        <v>14</v>
      </c>
      <c r="C36" s="7">
        <v>2</v>
      </c>
      <c r="D36" s="8">
        <f>IFERROR(C36/'Owner Totals (Pivot)(Task 4)'!B8,"")</f>
        <v>0.1</v>
      </c>
      <c r="E36" s="7">
        <v>2</v>
      </c>
      <c r="F36" s="7">
        <v>2</v>
      </c>
      <c r="G36" s="7">
        <v>2</v>
      </c>
      <c r="H36" s="8">
        <f t="shared" si="1"/>
        <v>1</v>
      </c>
      <c r="I36" s="7"/>
      <c r="K36">
        <f t="shared" si="0"/>
        <v>0.35</v>
      </c>
    </row>
    <row r="37" spans="1:11" ht="15" customHeight="1" x14ac:dyDescent="0.25">
      <c r="A37" s="3" t="s">
        <v>22</v>
      </c>
      <c r="B37" s="4" t="s">
        <v>16</v>
      </c>
      <c r="C37" s="4">
        <v>2</v>
      </c>
      <c r="D37" s="5">
        <f>IFERROR(C37/'Owner Totals (Pivot)(Task 4)'!B8,"")</f>
        <v>0.1</v>
      </c>
      <c r="E37" s="4">
        <v>2</v>
      </c>
      <c r="F37" s="4">
        <v>2</v>
      </c>
      <c r="G37" s="4">
        <v>2</v>
      </c>
      <c r="H37" s="5">
        <f t="shared" si="1"/>
        <v>1</v>
      </c>
      <c r="I37" s="4"/>
      <c r="K37">
        <f t="shared" si="0"/>
        <v>0.35</v>
      </c>
    </row>
    <row r="38" spans="1:11" ht="15" customHeight="1" x14ac:dyDescent="0.25">
      <c r="A38" s="6" t="s">
        <v>22</v>
      </c>
      <c r="B38" s="7" t="s">
        <v>17</v>
      </c>
      <c r="C38" s="7">
        <v>1</v>
      </c>
      <c r="D38" s="8">
        <f>IFERROR(C38/'Owner Totals (Pivot)(Task 4)'!B8,"")</f>
        <v>0.05</v>
      </c>
      <c r="E38" s="7">
        <v>1</v>
      </c>
      <c r="F38" s="7">
        <v>1</v>
      </c>
      <c r="G38" s="7">
        <v>1</v>
      </c>
      <c r="H38" s="8">
        <f t="shared" si="1"/>
        <v>1</v>
      </c>
      <c r="I38" s="7"/>
      <c r="K38">
        <f t="shared" si="0"/>
        <v>0.35</v>
      </c>
    </row>
    <row r="39" spans="1:11" ht="15" customHeight="1" x14ac:dyDescent="0.25">
      <c r="A39" s="3" t="s">
        <v>23</v>
      </c>
      <c r="B39" s="4" t="s">
        <v>11</v>
      </c>
      <c r="C39" s="4">
        <v>17</v>
      </c>
      <c r="D39" s="5">
        <f>IFERROR(C39/'Owner Totals (Pivot)(Task 4)'!B9,"")</f>
        <v>0.10059171597633136</v>
      </c>
      <c r="E39" s="4">
        <v>14</v>
      </c>
      <c r="F39" s="4">
        <v>6</v>
      </c>
      <c r="G39" s="4">
        <v>4</v>
      </c>
      <c r="H39" s="5">
        <f t="shared" si="1"/>
        <v>0.23529411764705882</v>
      </c>
      <c r="I39" s="23" t="s">
        <v>79</v>
      </c>
      <c r="K39">
        <f t="shared" si="0"/>
        <v>0.29585798816568049</v>
      </c>
    </row>
    <row r="40" spans="1:11" ht="15" customHeight="1" x14ac:dyDescent="0.25">
      <c r="A40" s="6" t="s">
        <v>23</v>
      </c>
      <c r="B40" s="7" t="s">
        <v>12</v>
      </c>
      <c r="C40" s="7">
        <v>14</v>
      </c>
      <c r="D40" s="8">
        <f>IFERROR(C40/'Owner Totals (Pivot)(Task 4)'!B9,"")</f>
        <v>8.2840236686390539E-2</v>
      </c>
      <c r="E40" s="7">
        <v>13</v>
      </c>
      <c r="F40" s="7">
        <v>12</v>
      </c>
      <c r="G40" s="7">
        <v>8</v>
      </c>
      <c r="H40" s="8">
        <f t="shared" si="1"/>
        <v>0.5714285714285714</v>
      </c>
      <c r="I40" s="7"/>
      <c r="K40">
        <f t="shared" si="0"/>
        <v>0.29585798816568049</v>
      </c>
    </row>
    <row r="41" spans="1:11" ht="15" customHeight="1" x14ac:dyDescent="0.25">
      <c r="A41" s="3" t="s">
        <v>23</v>
      </c>
      <c r="B41" s="4" t="s">
        <v>13</v>
      </c>
      <c r="C41" s="4">
        <v>50</v>
      </c>
      <c r="D41" s="5">
        <f>IFERROR(C41/'Owner Totals (Pivot)(Task 4)'!B9,"")</f>
        <v>0.29585798816568049</v>
      </c>
      <c r="E41" s="4">
        <v>41</v>
      </c>
      <c r="F41" s="4">
        <v>34</v>
      </c>
      <c r="G41" s="4">
        <v>28</v>
      </c>
      <c r="H41" s="5">
        <f t="shared" si="1"/>
        <v>0.56000000000000005</v>
      </c>
      <c r="I41" s="4"/>
      <c r="K41">
        <f t="shared" si="0"/>
        <v>0.29585798816568049</v>
      </c>
    </row>
    <row r="42" spans="1:11" ht="15" customHeight="1" x14ac:dyDescent="0.25">
      <c r="A42" s="6" t="s">
        <v>23</v>
      </c>
      <c r="B42" s="7" t="s">
        <v>14</v>
      </c>
      <c r="C42" s="7">
        <v>36</v>
      </c>
      <c r="D42" s="8">
        <f>IFERROR(C42/'Owner Totals (Pivot)(Task 4)'!B9,"")</f>
        <v>0.21301775147928995</v>
      </c>
      <c r="E42" s="7">
        <v>28</v>
      </c>
      <c r="F42" s="7">
        <v>26</v>
      </c>
      <c r="G42" s="7">
        <v>23</v>
      </c>
      <c r="H42" s="8">
        <f t="shared" si="1"/>
        <v>0.63888888888888884</v>
      </c>
      <c r="I42" s="7"/>
      <c r="K42">
        <f t="shared" si="0"/>
        <v>0.29585798816568049</v>
      </c>
    </row>
    <row r="43" spans="1:11" ht="15" customHeight="1" x14ac:dyDescent="0.25">
      <c r="A43" s="3" t="s">
        <v>23</v>
      </c>
      <c r="B43" s="4" t="s">
        <v>15</v>
      </c>
      <c r="C43" s="4">
        <v>26</v>
      </c>
      <c r="D43" s="5">
        <f>IFERROR(C43/'Owner Totals (Pivot)(Task 4)'!B9,"")</f>
        <v>0.15384615384615385</v>
      </c>
      <c r="E43" s="4">
        <v>25</v>
      </c>
      <c r="F43" s="4">
        <v>21</v>
      </c>
      <c r="G43" s="4">
        <v>20</v>
      </c>
      <c r="H43" s="5">
        <f t="shared" si="1"/>
        <v>0.76923076923076927</v>
      </c>
      <c r="I43" s="4"/>
      <c r="K43">
        <f t="shared" si="0"/>
        <v>0.29585798816568049</v>
      </c>
    </row>
    <row r="44" spans="1:11" ht="15" customHeight="1" x14ac:dyDescent="0.25">
      <c r="A44" s="6" t="s">
        <v>23</v>
      </c>
      <c r="B44" s="7" t="s">
        <v>16</v>
      </c>
      <c r="C44" s="7">
        <v>10</v>
      </c>
      <c r="D44" s="8">
        <f>IFERROR(C44/'Owner Totals (Pivot)(Task 4)'!B9,"")</f>
        <v>5.9171597633136092E-2</v>
      </c>
      <c r="E44" s="7">
        <v>7</v>
      </c>
      <c r="F44" s="7">
        <v>7</v>
      </c>
      <c r="G44" s="7">
        <v>7</v>
      </c>
      <c r="H44" s="8">
        <f t="shared" si="1"/>
        <v>0.7</v>
      </c>
      <c r="I44" s="7"/>
      <c r="K44">
        <f t="shared" si="0"/>
        <v>0.29585798816568049</v>
      </c>
    </row>
    <row r="45" spans="1:11" ht="15" customHeight="1" x14ac:dyDescent="0.25">
      <c r="A45" s="3" t="s">
        <v>23</v>
      </c>
      <c r="B45" s="4" t="s">
        <v>17</v>
      </c>
      <c r="C45" s="4">
        <v>16</v>
      </c>
      <c r="D45" s="5">
        <f>IFERROR(C45/'Owner Totals (Pivot)(Task 4)'!B9,"")</f>
        <v>9.4674556213017749E-2</v>
      </c>
      <c r="E45" s="4">
        <v>14</v>
      </c>
      <c r="F45" s="4">
        <v>14</v>
      </c>
      <c r="G45" s="4">
        <v>13</v>
      </c>
      <c r="H45" s="5">
        <f t="shared" si="1"/>
        <v>0.8125</v>
      </c>
      <c r="I45" s="4"/>
      <c r="K45">
        <f t="shared" si="0"/>
        <v>0.29585798816568049</v>
      </c>
    </row>
    <row r="46" spans="1:11" ht="15" customHeight="1" x14ac:dyDescent="0.25">
      <c r="A46" s="6" t="s">
        <v>24</v>
      </c>
      <c r="B46" s="7" t="s">
        <v>11</v>
      </c>
      <c r="C46" s="7">
        <v>74</v>
      </c>
      <c r="D46" s="8">
        <f>IFERROR(C46/'Owner Totals (Pivot)(Task 4)'!B10,"")</f>
        <v>0.27205882352941174</v>
      </c>
      <c r="E46" s="7">
        <v>61</v>
      </c>
      <c r="F46" s="7">
        <v>47</v>
      </c>
      <c r="G46" s="7">
        <v>48</v>
      </c>
      <c r="H46" s="8">
        <f t="shared" si="1"/>
        <v>0.64864864864864868</v>
      </c>
      <c r="I46" s="23" t="s">
        <v>79</v>
      </c>
      <c r="K46">
        <f t="shared" si="0"/>
        <v>0.29044117647058826</v>
      </c>
    </row>
    <row r="47" spans="1:11" ht="15" customHeight="1" x14ac:dyDescent="0.25">
      <c r="A47" s="3" t="s">
        <v>24</v>
      </c>
      <c r="B47" s="4" t="s">
        <v>12</v>
      </c>
      <c r="C47" s="4">
        <v>66</v>
      </c>
      <c r="D47" s="5">
        <f>IFERROR(C47/'Owner Totals (Pivot)(Task 4)'!B10,"")</f>
        <v>0.24264705882352941</v>
      </c>
      <c r="E47" s="4">
        <v>56</v>
      </c>
      <c r="F47" s="4">
        <v>48</v>
      </c>
      <c r="G47" s="4">
        <v>45</v>
      </c>
      <c r="H47" s="5">
        <f t="shared" si="1"/>
        <v>0.68181818181818177</v>
      </c>
      <c r="I47" s="4"/>
      <c r="K47">
        <f t="shared" si="0"/>
        <v>0.29044117647058826</v>
      </c>
    </row>
    <row r="48" spans="1:11" ht="15" customHeight="1" x14ac:dyDescent="0.25">
      <c r="A48" s="6" t="s">
        <v>24</v>
      </c>
      <c r="B48" s="7" t="s">
        <v>13</v>
      </c>
      <c r="C48" s="7">
        <v>79</v>
      </c>
      <c r="D48" s="8">
        <f>IFERROR(C48/'Owner Totals (Pivot)(Task 4)'!B10,"")</f>
        <v>0.29044117647058826</v>
      </c>
      <c r="E48" s="7">
        <v>73</v>
      </c>
      <c r="F48" s="7">
        <v>63</v>
      </c>
      <c r="G48" s="7">
        <v>58</v>
      </c>
      <c r="H48" s="8">
        <f t="shared" si="1"/>
        <v>0.73417721518987344</v>
      </c>
      <c r="I48" s="7"/>
      <c r="K48">
        <f t="shared" si="0"/>
        <v>0.29044117647058826</v>
      </c>
    </row>
    <row r="49" spans="1:11" ht="15" customHeight="1" x14ac:dyDescent="0.25">
      <c r="A49" s="3" t="s">
        <v>24</v>
      </c>
      <c r="B49" s="4" t="s">
        <v>14</v>
      </c>
      <c r="C49" s="4">
        <v>33</v>
      </c>
      <c r="D49" s="5">
        <f>IFERROR(C49/'Owner Totals (Pivot)(Task 4)'!B10,"")</f>
        <v>0.12132352941176471</v>
      </c>
      <c r="E49" s="4">
        <v>31</v>
      </c>
      <c r="F49" s="4">
        <v>26</v>
      </c>
      <c r="G49" s="4">
        <v>25</v>
      </c>
      <c r="H49" s="5">
        <f t="shared" si="1"/>
        <v>0.75757575757575757</v>
      </c>
      <c r="I49" s="4"/>
      <c r="K49">
        <f t="shared" si="0"/>
        <v>0.29044117647058826</v>
      </c>
    </row>
    <row r="50" spans="1:11" ht="15" customHeight="1" x14ac:dyDescent="0.25">
      <c r="A50" s="6" t="s">
        <v>24</v>
      </c>
      <c r="B50" s="7" t="s">
        <v>15</v>
      </c>
      <c r="C50" s="7">
        <v>15</v>
      </c>
      <c r="D50" s="8">
        <f>IFERROR(C50/'Owner Totals (Pivot)(Task 4)'!B10,"")</f>
        <v>5.514705882352941E-2</v>
      </c>
      <c r="E50" s="7">
        <v>14</v>
      </c>
      <c r="F50" s="7">
        <v>12</v>
      </c>
      <c r="G50" s="7">
        <v>11</v>
      </c>
      <c r="H50" s="8">
        <f t="shared" si="1"/>
        <v>0.73333333333333328</v>
      </c>
      <c r="I50" s="7"/>
      <c r="K50">
        <f t="shared" si="0"/>
        <v>0.29044117647058826</v>
      </c>
    </row>
    <row r="51" spans="1:11" ht="15" customHeight="1" x14ac:dyDescent="0.25">
      <c r="A51" s="3" t="s">
        <v>24</v>
      </c>
      <c r="B51" s="4" t="s">
        <v>16</v>
      </c>
      <c r="C51" s="4">
        <v>4</v>
      </c>
      <c r="D51" s="5">
        <f>IFERROR(C51/'Owner Totals (Pivot)(Task 4)'!B10,"")</f>
        <v>1.4705882352941176E-2</v>
      </c>
      <c r="E51" s="4">
        <v>4</v>
      </c>
      <c r="F51" s="4">
        <v>4</v>
      </c>
      <c r="G51" s="4">
        <v>4</v>
      </c>
      <c r="H51" s="5">
        <f t="shared" si="1"/>
        <v>1</v>
      </c>
      <c r="I51" s="4"/>
      <c r="K51">
        <f t="shared" si="0"/>
        <v>0.29044117647058826</v>
      </c>
    </row>
    <row r="52" spans="1:11" ht="15" customHeight="1" x14ac:dyDescent="0.25">
      <c r="A52" s="6" t="s">
        <v>24</v>
      </c>
      <c r="B52" s="7" t="s">
        <v>17</v>
      </c>
      <c r="C52" s="7">
        <v>1</v>
      </c>
      <c r="D52" s="8">
        <f>IFERROR(C52/'Owner Totals (Pivot)(Task 4)'!B10,"")</f>
        <v>3.6764705882352941E-3</v>
      </c>
      <c r="E52" s="7">
        <v>1</v>
      </c>
      <c r="F52" s="7">
        <v>1</v>
      </c>
      <c r="G52" s="7">
        <v>1</v>
      </c>
      <c r="H52" s="8">
        <f t="shared" si="1"/>
        <v>1</v>
      </c>
      <c r="I52" s="7"/>
      <c r="K52">
        <f t="shared" si="0"/>
        <v>0.29044117647058826</v>
      </c>
    </row>
    <row r="53" spans="1:11" ht="15" customHeight="1" x14ac:dyDescent="0.25">
      <c r="A53" s="3" t="s">
        <v>25</v>
      </c>
      <c r="B53" s="4" t="s">
        <v>11</v>
      </c>
      <c r="C53" s="4">
        <v>16</v>
      </c>
      <c r="D53" s="5">
        <f>IFERROR(C53/'Owner Totals (Pivot)(Task 4)'!B11,"")</f>
        <v>0.2711864406779661</v>
      </c>
      <c r="E53" s="4">
        <v>13</v>
      </c>
      <c r="F53" s="4">
        <v>10</v>
      </c>
      <c r="G53" s="4">
        <v>6</v>
      </c>
      <c r="H53" s="5">
        <f t="shared" si="1"/>
        <v>0.375</v>
      </c>
      <c r="I53" s="23" t="s">
        <v>79</v>
      </c>
      <c r="K53">
        <f t="shared" si="0"/>
        <v>0.33898305084745761</v>
      </c>
    </row>
    <row r="54" spans="1:11" ht="15" customHeight="1" x14ac:dyDescent="0.25">
      <c r="A54" s="6" t="s">
        <v>25</v>
      </c>
      <c r="B54" s="7" t="s">
        <v>12</v>
      </c>
      <c r="C54" s="7">
        <v>10</v>
      </c>
      <c r="D54" s="8">
        <f>IFERROR(C54/'Owner Totals (Pivot)(Task 4)'!B11,"")</f>
        <v>0.16949152542372881</v>
      </c>
      <c r="E54" s="7">
        <v>6</v>
      </c>
      <c r="F54" s="7">
        <v>4</v>
      </c>
      <c r="G54" s="7">
        <v>3</v>
      </c>
      <c r="H54" s="8">
        <f t="shared" si="1"/>
        <v>0.3</v>
      </c>
      <c r="I54" s="7"/>
      <c r="K54">
        <f t="shared" si="0"/>
        <v>0.33898305084745761</v>
      </c>
    </row>
    <row r="55" spans="1:11" ht="15" customHeight="1" x14ac:dyDescent="0.25">
      <c r="A55" s="3" t="s">
        <v>25</v>
      </c>
      <c r="B55" s="4" t="s">
        <v>13</v>
      </c>
      <c r="C55" s="4">
        <v>20</v>
      </c>
      <c r="D55" s="5">
        <f>IFERROR(C55/'Owner Totals (Pivot)(Task 4)'!B11,"")</f>
        <v>0.33898305084745761</v>
      </c>
      <c r="E55" s="4">
        <v>18</v>
      </c>
      <c r="F55" s="4">
        <v>9</v>
      </c>
      <c r="G55" s="4">
        <v>8</v>
      </c>
      <c r="H55" s="5">
        <f t="shared" si="1"/>
        <v>0.4</v>
      </c>
      <c r="I55" s="4"/>
      <c r="K55">
        <f t="shared" si="0"/>
        <v>0.33898305084745761</v>
      </c>
    </row>
    <row r="56" spans="1:11" ht="15" customHeight="1" x14ac:dyDescent="0.25">
      <c r="A56" s="6" t="s">
        <v>25</v>
      </c>
      <c r="B56" s="7" t="s">
        <v>14</v>
      </c>
      <c r="C56" s="7">
        <v>6</v>
      </c>
      <c r="D56" s="8">
        <f>IFERROR(C56/'Owner Totals (Pivot)(Task 4)'!B11,"")</f>
        <v>0.10169491525423729</v>
      </c>
      <c r="E56" s="7">
        <v>4</v>
      </c>
      <c r="F56" s="7">
        <v>4</v>
      </c>
      <c r="G56" s="7">
        <v>4</v>
      </c>
      <c r="H56" s="8">
        <f t="shared" si="1"/>
        <v>0.66666666666666663</v>
      </c>
      <c r="I56" s="7"/>
      <c r="K56">
        <f t="shared" si="0"/>
        <v>0.33898305084745761</v>
      </c>
    </row>
    <row r="57" spans="1:11" ht="15" customHeight="1" x14ac:dyDescent="0.25">
      <c r="A57" s="3" t="s">
        <v>25</v>
      </c>
      <c r="B57" s="4" t="s">
        <v>15</v>
      </c>
      <c r="C57" s="4">
        <v>5</v>
      </c>
      <c r="D57" s="5">
        <f>IFERROR(C57/'Owner Totals (Pivot)(Task 4)'!B11,"")</f>
        <v>8.4745762711864403E-2</v>
      </c>
      <c r="E57" s="4">
        <v>4</v>
      </c>
      <c r="F57" s="4">
        <v>4</v>
      </c>
      <c r="G57" s="4">
        <v>4</v>
      </c>
      <c r="H57" s="5">
        <f t="shared" si="1"/>
        <v>0.8</v>
      </c>
      <c r="I57" s="4"/>
      <c r="K57">
        <f t="shared" si="0"/>
        <v>0.33898305084745761</v>
      </c>
    </row>
    <row r="58" spans="1:11" ht="15" customHeight="1" x14ac:dyDescent="0.25">
      <c r="A58" s="6" t="s">
        <v>25</v>
      </c>
      <c r="B58" s="7" t="s">
        <v>16</v>
      </c>
      <c r="C58" s="7">
        <v>1</v>
      </c>
      <c r="D58" s="8">
        <f>IFERROR(C58/'Owner Totals (Pivot)(Task 4)'!B11,"")</f>
        <v>1.6949152542372881E-2</v>
      </c>
      <c r="E58" s="7">
        <v>0</v>
      </c>
      <c r="F58" s="7">
        <v>0</v>
      </c>
      <c r="G58" s="7">
        <v>0</v>
      </c>
      <c r="H58" s="8">
        <f t="shared" si="1"/>
        <v>0</v>
      </c>
      <c r="I58" s="7"/>
      <c r="K58">
        <f t="shared" si="0"/>
        <v>0.33898305084745761</v>
      </c>
    </row>
    <row r="59" spans="1:11" ht="15" customHeight="1" x14ac:dyDescent="0.25">
      <c r="A59" s="3" t="s">
        <v>25</v>
      </c>
      <c r="B59" s="4" t="s">
        <v>17</v>
      </c>
      <c r="C59" s="4">
        <v>1</v>
      </c>
      <c r="D59" s="5">
        <f>IFERROR(C59/'Owner Totals (Pivot)(Task 4)'!B11,"")</f>
        <v>1.6949152542372881E-2</v>
      </c>
      <c r="E59" s="4">
        <v>1</v>
      </c>
      <c r="F59" s="4">
        <v>1</v>
      </c>
      <c r="G59" s="4">
        <v>1</v>
      </c>
      <c r="H59" s="5">
        <f t="shared" si="1"/>
        <v>1</v>
      </c>
      <c r="I59" s="4"/>
      <c r="K59">
        <f t="shared" si="0"/>
        <v>0.33898305084745761</v>
      </c>
    </row>
    <row r="60" spans="1:11" ht="15" customHeight="1" x14ac:dyDescent="0.25">
      <c r="A60" s="6" t="s">
        <v>26</v>
      </c>
      <c r="B60" s="7" t="s">
        <v>11</v>
      </c>
      <c r="C60" s="7">
        <v>17</v>
      </c>
      <c r="D60" s="8">
        <f>IFERROR(C60/'Owner Totals (Pivot)(Task 4)'!B12,"")</f>
        <v>2.9616724738675958E-2</v>
      </c>
      <c r="E60" s="7">
        <v>14</v>
      </c>
      <c r="F60" s="7">
        <v>12</v>
      </c>
      <c r="G60" s="7">
        <v>11</v>
      </c>
      <c r="H60" s="8">
        <f t="shared" si="1"/>
        <v>0.6470588235294118</v>
      </c>
      <c r="I60" s="23" t="s">
        <v>79</v>
      </c>
      <c r="K60">
        <f t="shared" si="0"/>
        <v>0.34843205574912894</v>
      </c>
    </row>
    <row r="61" spans="1:11" ht="15" customHeight="1" x14ac:dyDescent="0.25">
      <c r="A61" s="3" t="s">
        <v>26</v>
      </c>
      <c r="B61" s="4" t="s">
        <v>12</v>
      </c>
      <c r="C61" s="4">
        <v>100</v>
      </c>
      <c r="D61" s="5">
        <f>IFERROR(C61/'Owner Totals (Pivot)(Task 4)'!B12,"")</f>
        <v>0.17421602787456447</v>
      </c>
      <c r="E61" s="4">
        <v>86</v>
      </c>
      <c r="F61" s="4">
        <v>73</v>
      </c>
      <c r="G61" s="4">
        <v>60</v>
      </c>
      <c r="H61" s="5">
        <f t="shared" si="1"/>
        <v>0.6</v>
      </c>
      <c r="I61" s="4"/>
      <c r="K61">
        <f t="shared" si="0"/>
        <v>0.34843205574912894</v>
      </c>
    </row>
    <row r="62" spans="1:11" ht="15" customHeight="1" x14ac:dyDescent="0.25">
      <c r="A62" s="6" t="s">
        <v>26</v>
      </c>
      <c r="B62" s="7" t="s">
        <v>13</v>
      </c>
      <c r="C62" s="7">
        <v>200</v>
      </c>
      <c r="D62" s="8">
        <f>IFERROR(C62/'Owner Totals (Pivot)(Task 4)'!B12,"")</f>
        <v>0.34843205574912894</v>
      </c>
      <c r="E62" s="7">
        <v>177</v>
      </c>
      <c r="F62" s="7">
        <v>147</v>
      </c>
      <c r="G62" s="7">
        <v>131</v>
      </c>
      <c r="H62" s="8">
        <f t="shared" si="1"/>
        <v>0.65500000000000003</v>
      </c>
      <c r="I62" s="7"/>
      <c r="K62">
        <f t="shared" si="0"/>
        <v>0.34843205574912894</v>
      </c>
    </row>
    <row r="63" spans="1:11" ht="15" customHeight="1" x14ac:dyDescent="0.25">
      <c r="A63" s="3" t="s">
        <v>26</v>
      </c>
      <c r="B63" s="4" t="s">
        <v>14</v>
      </c>
      <c r="C63" s="4">
        <v>124</v>
      </c>
      <c r="D63" s="5">
        <f>IFERROR(C63/'Owner Totals (Pivot)(Task 4)'!B12,"")</f>
        <v>0.21602787456445993</v>
      </c>
      <c r="E63" s="4">
        <v>117</v>
      </c>
      <c r="F63" s="4">
        <v>102</v>
      </c>
      <c r="G63" s="4">
        <v>91</v>
      </c>
      <c r="H63" s="5">
        <f t="shared" si="1"/>
        <v>0.7338709677419355</v>
      </c>
      <c r="I63" s="4"/>
      <c r="K63">
        <f t="shared" si="0"/>
        <v>0.34843205574912894</v>
      </c>
    </row>
    <row r="64" spans="1:11" ht="15" customHeight="1" x14ac:dyDescent="0.25">
      <c r="A64" s="6" t="s">
        <v>26</v>
      </c>
      <c r="B64" s="7" t="s">
        <v>15</v>
      </c>
      <c r="C64" s="7">
        <v>59</v>
      </c>
      <c r="D64" s="8">
        <f>IFERROR(C64/'Owner Totals (Pivot)(Task 4)'!B12,"")</f>
        <v>0.10278745644599303</v>
      </c>
      <c r="E64" s="7">
        <v>57</v>
      </c>
      <c r="F64" s="7">
        <v>50</v>
      </c>
      <c r="G64" s="7">
        <v>45</v>
      </c>
      <c r="H64" s="8">
        <f t="shared" si="1"/>
        <v>0.76271186440677963</v>
      </c>
      <c r="I64" s="7"/>
      <c r="K64">
        <f t="shared" si="0"/>
        <v>0.34843205574912894</v>
      </c>
    </row>
    <row r="65" spans="1:11" ht="15" customHeight="1" x14ac:dyDescent="0.25">
      <c r="A65" s="3" t="s">
        <v>26</v>
      </c>
      <c r="B65" s="4" t="s">
        <v>16</v>
      </c>
      <c r="C65" s="4">
        <v>43</v>
      </c>
      <c r="D65" s="5">
        <f>IFERROR(C65/'Owner Totals (Pivot)(Task 4)'!B12,"")</f>
        <v>7.4912891986062713E-2</v>
      </c>
      <c r="E65" s="4">
        <v>40</v>
      </c>
      <c r="F65" s="4">
        <v>38</v>
      </c>
      <c r="G65" s="4">
        <v>34</v>
      </c>
      <c r="H65" s="5">
        <f t="shared" si="1"/>
        <v>0.79069767441860461</v>
      </c>
      <c r="I65" s="4"/>
      <c r="K65">
        <f t="shared" si="0"/>
        <v>0.34843205574912894</v>
      </c>
    </row>
    <row r="66" spans="1:11" ht="15" customHeight="1" x14ac:dyDescent="0.25">
      <c r="A66" s="6" t="s">
        <v>26</v>
      </c>
      <c r="B66" s="7" t="s">
        <v>17</v>
      </c>
      <c r="C66" s="7">
        <v>31</v>
      </c>
      <c r="D66" s="8">
        <f>IFERROR(C66/'Owner Totals (Pivot)(Task 4)'!B12,"")</f>
        <v>5.4006968641114983E-2</v>
      </c>
      <c r="E66" s="7">
        <v>29</v>
      </c>
      <c r="F66" s="7">
        <v>27</v>
      </c>
      <c r="G66" s="7">
        <v>26</v>
      </c>
      <c r="H66" s="8">
        <f t="shared" si="1"/>
        <v>0.83870967741935487</v>
      </c>
      <c r="I66" s="7"/>
      <c r="K66">
        <f t="shared" si="0"/>
        <v>0.34843205574912894</v>
      </c>
    </row>
    <row r="67" spans="1:11" ht="15" customHeight="1" x14ac:dyDescent="0.25">
      <c r="A67" s="3" t="s">
        <v>27</v>
      </c>
      <c r="B67" s="4" t="s">
        <v>11</v>
      </c>
      <c r="C67" s="4">
        <v>13</v>
      </c>
      <c r="D67" s="5">
        <f>IFERROR(C67/'Owner Totals (Pivot)(Task 4)'!B13,"")</f>
        <v>0.17333333333333334</v>
      </c>
      <c r="E67" s="4">
        <v>12</v>
      </c>
      <c r="F67" s="4">
        <v>10</v>
      </c>
      <c r="G67" s="4">
        <v>8</v>
      </c>
      <c r="H67" s="5">
        <f t="shared" ref="H67:H130" si="2">IFERROR(G67/C67,"")</f>
        <v>0.61538461538461542</v>
      </c>
      <c r="I67" s="23" t="s">
        <v>79</v>
      </c>
      <c r="K67">
        <f t="shared" ref="K67:K130" si="3">SUMPRODUCT(MAX(($A$4:$A$274=A67)*$D$4:$D$274))</f>
        <v>0.32</v>
      </c>
    </row>
    <row r="68" spans="1:11" ht="15" customHeight="1" x14ac:dyDescent="0.25">
      <c r="A68" s="6" t="s">
        <v>27</v>
      </c>
      <c r="B68" s="7" t="s">
        <v>12</v>
      </c>
      <c r="C68" s="7">
        <v>8</v>
      </c>
      <c r="D68" s="8">
        <f>IFERROR(C68/'Owner Totals (Pivot)(Task 4)'!B13,"")</f>
        <v>0.10666666666666667</v>
      </c>
      <c r="E68" s="7">
        <v>8</v>
      </c>
      <c r="F68" s="7">
        <v>8</v>
      </c>
      <c r="G68" s="7">
        <v>8</v>
      </c>
      <c r="H68" s="8">
        <f t="shared" si="2"/>
        <v>1</v>
      </c>
      <c r="I68" s="7"/>
      <c r="K68">
        <f t="shared" si="3"/>
        <v>0.32</v>
      </c>
    </row>
    <row r="69" spans="1:11" ht="15" customHeight="1" x14ac:dyDescent="0.25">
      <c r="A69" s="3" t="s">
        <v>27</v>
      </c>
      <c r="B69" s="4" t="s">
        <v>13</v>
      </c>
      <c r="C69" s="4">
        <v>24</v>
      </c>
      <c r="D69" s="5">
        <f>IFERROR(C69/'Owner Totals (Pivot)(Task 4)'!B13,"")</f>
        <v>0.32</v>
      </c>
      <c r="E69" s="4">
        <v>20</v>
      </c>
      <c r="F69" s="4">
        <v>14</v>
      </c>
      <c r="G69" s="4">
        <v>11</v>
      </c>
      <c r="H69" s="5">
        <f t="shared" si="2"/>
        <v>0.45833333333333331</v>
      </c>
      <c r="I69" s="4"/>
      <c r="K69">
        <f t="shared" si="3"/>
        <v>0.32</v>
      </c>
    </row>
    <row r="70" spans="1:11" ht="15" customHeight="1" x14ac:dyDescent="0.25">
      <c r="A70" s="6" t="s">
        <v>27</v>
      </c>
      <c r="B70" s="7" t="s">
        <v>14</v>
      </c>
      <c r="C70" s="7">
        <v>17</v>
      </c>
      <c r="D70" s="8">
        <f>IFERROR(C70/'Owner Totals (Pivot)(Task 4)'!B13,"")</f>
        <v>0.22666666666666666</v>
      </c>
      <c r="E70" s="7">
        <v>16</v>
      </c>
      <c r="F70" s="7">
        <v>14</v>
      </c>
      <c r="G70" s="7">
        <v>13</v>
      </c>
      <c r="H70" s="8">
        <f t="shared" si="2"/>
        <v>0.76470588235294112</v>
      </c>
      <c r="I70" s="7"/>
      <c r="K70">
        <f t="shared" si="3"/>
        <v>0.32</v>
      </c>
    </row>
    <row r="71" spans="1:11" ht="15" customHeight="1" x14ac:dyDescent="0.25">
      <c r="A71" s="3" t="s">
        <v>27</v>
      </c>
      <c r="B71" s="4" t="s">
        <v>15</v>
      </c>
      <c r="C71" s="4">
        <v>5</v>
      </c>
      <c r="D71" s="5">
        <f>IFERROR(C71/'Owner Totals (Pivot)(Task 4)'!B13,"")</f>
        <v>6.6666666666666666E-2</v>
      </c>
      <c r="E71" s="4">
        <v>4</v>
      </c>
      <c r="F71" s="4">
        <v>4</v>
      </c>
      <c r="G71" s="4">
        <v>3</v>
      </c>
      <c r="H71" s="5">
        <f t="shared" si="2"/>
        <v>0.6</v>
      </c>
      <c r="I71" s="4"/>
      <c r="K71">
        <f t="shared" si="3"/>
        <v>0.32</v>
      </c>
    </row>
    <row r="72" spans="1:11" ht="15" customHeight="1" x14ac:dyDescent="0.25">
      <c r="A72" s="6" t="s">
        <v>27</v>
      </c>
      <c r="B72" s="7" t="s">
        <v>16</v>
      </c>
      <c r="C72" s="7">
        <v>5</v>
      </c>
      <c r="D72" s="8">
        <f>IFERROR(C72/'Owner Totals (Pivot)(Task 4)'!B13,"")</f>
        <v>6.6666666666666666E-2</v>
      </c>
      <c r="E72" s="7">
        <v>4</v>
      </c>
      <c r="F72" s="7">
        <v>4</v>
      </c>
      <c r="G72" s="7">
        <v>4</v>
      </c>
      <c r="H72" s="8">
        <f t="shared" si="2"/>
        <v>0.8</v>
      </c>
      <c r="I72" s="7"/>
      <c r="K72">
        <f t="shared" si="3"/>
        <v>0.32</v>
      </c>
    </row>
    <row r="73" spans="1:11" ht="15" customHeight="1" x14ac:dyDescent="0.25">
      <c r="A73" s="3" t="s">
        <v>27</v>
      </c>
      <c r="B73" s="4" t="s">
        <v>17</v>
      </c>
      <c r="C73" s="4">
        <v>3</v>
      </c>
      <c r="D73" s="5">
        <f>IFERROR(C73/'Owner Totals (Pivot)(Task 4)'!B13,"")</f>
        <v>0.04</v>
      </c>
      <c r="E73" s="4">
        <v>3</v>
      </c>
      <c r="F73" s="4">
        <v>3</v>
      </c>
      <c r="G73" s="4">
        <v>3</v>
      </c>
      <c r="H73" s="5">
        <f t="shared" si="2"/>
        <v>1</v>
      </c>
      <c r="I73" s="4"/>
      <c r="K73">
        <f t="shared" si="3"/>
        <v>0.32</v>
      </c>
    </row>
    <row r="74" spans="1:11" ht="15" customHeight="1" x14ac:dyDescent="0.25">
      <c r="A74" s="6" t="s">
        <v>28</v>
      </c>
      <c r="B74" s="7" t="s">
        <v>11</v>
      </c>
      <c r="C74" s="7">
        <v>100</v>
      </c>
      <c r="D74" s="8">
        <f>IFERROR(C74/'Owner Totals (Pivot)(Task 4)'!B14,"")</f>
        <v>0.29069767441860467</v>
      </c>
      <c r="E74" s="7">
        <v>70</v>
      </c>
      <c r="F74" s="7">
        <v>51</v>
      </c>
      <c r="G74" s="7">
        <v>45</v>
      </c>
      <c r="H74" s="8">
        <f t="shared" si="2"/>
        <v>0.45</v>
      </c>
      <c r="I74" s="23" t="s">
        <v>79</v>
      </c>
      <c r="K74">
        <f t="shared" si="3"/>
        <v>0.34302325581395349</v>
      </c>
    </row>
    <row r="75" spans="1:11" ht="15" customHeight="1" x14ac:dyDescent="0.25">
      <c r="A75" s="3" t="s">
        <v>28</v>
      </c>
      <c r="B75" s="4" t="s">
        <v>12</v>
      </c>
      <c r="C75" s="4">
        <v>68</v>
      </c>
      <c r="D75" s="5">
        <f>IFERROR(C75/'Owner Totals (Pivot)(Task 4)'!B14,"")</f>
        <v>0.19767441860465115</v>
      </c>
      <c r="E75" s="4">
        <v>60</v>
      </c>
      <c r="F75" s="4">
        <v>50</v>
      </c>
      <c r="G75" s="4">
        <v>45</v>
      </c>
      <c r="H75" s="5">
        <f t="shared" si="2"/>
        <v>0.66176470588235292</v>
      </c>
      <c r="I75" s="4"/>
      <c r="K75">
        <f t="shared" si="3"/>
        <v>0.34302325581395349</v>
      </c>
    </row>
    <row r="76" spans="1:11" ht="15" customHeight="1" x14ac:dyDescent="0.25">
      <c r="A76" s="6" t="s">
        <v>28</v>
      </c>
      <c r="B76" s="7" t="s">
        <v>13</v>
      </c>
      <c r="C76" s="7">
        <v>118</v>
      </c>
      <c r="D76" s="8">
        <f>IFERROR(C76/'Owner Totals (Pivot)(Task 4)'!B14,"")</f>
        <v>0.34302325581395349</v>
      </c>
      <c r="E76" s="7">
        <v>100</v>
      </c>
      <c r="F76" s="7">
        <v>86</v>
      </c>
      <c r="G76" s="7">
        <v>79</v>
      </c>
      <c r="H76" s="8">
        <f t="shared" si="2"/>
        <v>0.66949152542372881</v>
      </c>
      <c r="I76" s="7"/>
      <c r="K76">
        <f t="shared" si="3"/>
        <v>0.34302325581395349</v>
      </c>
    </row>
    <row r="77" spans="1:11" ht="15" customHeight="1" x14ac:dyDescent="0.25">
      <c r="A77" s="3" t="s">
        <v>28</v>
      </c>
      <c r="B77" s="4" t="s">
        <v>14</v>
      </c>
      <c r="C77" s="4">
        <v>32</v>
      </c>
      <c r="D77" s="5">
        <f>IFERROR(C77/'Owner Totals (Pivot)(Task 4)'!B14,"")</f>
        <v>9.3023255813953487E-2</v>
      </c>
      <c r="E77" s="4">
        <v>24</v>
      </c>
      <c r="F77" s="4">
        <v>23</v>
      </c>
      <c r="G77" s="4">
        <v>22</v>
      </c>
      <c r="H77" s="5">
        <f t="shared" si="2"/>
        <v>0.6875</v>
      </c>
      <c r="I77" s="4"/>
      <c r="K77">
        <f t="shared" si="3"/>
        <v>0.34302325581395349</v>
      </c>
    </row>
    <row r="78" spans="1:11" ht="15" customHeight="1" x14ac:dyDescent="0.25">
      <c r="A78" s="6" t="s">
        <v>28</v>
      </c>
      <c r="B78" s="7" t="s">
        <v>15</v>
      </c>
      <c r="C78" s="7">
        <v>13</v>
      </c>
      <c r="D78" s="8">
        <f>IFERROR(C78/'Owner Totals (Pivot)(Task 4)'!B14,"")</f>
        <v>3.7790697674418602E-2</v>
      </c>
      <c r="E78" s="7">
        <v>10</v>
      </c>
      <c r="F78" s="7">
        <v>10</v>
      </c>
      <c r="G78" s="7">
        <v>10</v>
      </c>
      <c r="H78" s="8">
        <f t="shared" si="2"/>
        <v>0.76923076923076927</v>
      </c>
      <c r="I78" s="7"/>
      <c r="K78">
        <f t="shared" si="3"/>
        <v>0.34302325581395349</v>
      </c>
    </row>
    <row r="79" spans="1:11" ht="15" customHeight="1" x14ac:dyDescent="0.25">
      <c r="A79" s="3" t="s">
        <v>28</v>
      </c>
      <c r="B79" s="4" t="s">
        <v>16</v>
      </c>
      <c r="C79" s="4">
        <v>7</v>
      </c>
      <c r="D79" s="5">
        <f>IFERROR(C79/'Owner Totals (Pivot)(Task 4)'!B14,"")</f>
        <v>2.0348837209302327E-2</v>
      </c>
      <c r="E79" s="4">
        <v>6</v>
      </c>
      <c r="F79" s="4">
        <v>6</v>
      </c>
      <c r="G79" s="4">
        <v>6</v>
      </c>
      <c r="H79" s="5">
        <f t="shared" si="2"/>
        <v>0.8571428571428571</v>
      </c>
      <c r="I79" s="4"/>
      <c r="K79">
        <f t="shared" si="3"/>
        <v>0.34302325581395349</v>
      </c>
    </row>
    <row r="80" spans="1:11" ht="15" customHeight="1" x14ac:dyDescent="0.25">
      <c r="A80" s="6" t="s">
        <v>28</v>
      </c>
      <c r="B80" s="7" t="s">
        <v>17</v>
      </c>
      <c r="C80" s="7">
        <v>6</v>
      </c>
      <c r="D80" s="8">
        <f>IFERROR(C80/'Owner Totals (Pivot)(Task 4)'!B14,"")</f>
        <v>1.7441860465116279E-2</v>
      </c>
      <c r="E80" s="7">
        <v>6</v>
      </c>
      <c r="F80" s="7">
        <v>6</v>
      </c>
      <c r="G80" s="7">
        <v>4</v>
      </c>
      <c r="H80" s="8">
        <f t="shared" si="2"/>
        <v>0.66666666666666663</v>
      </c>
      <c r="I80" s="7"/>
      <c r="K80">
        <f t="shared" si="3"/>
        <v>0.34302325581395349</v>
      </c>
    </row>
    <row r="81" spans="1:11" ht="15" customHeight="1" x14ac:dyDescent="0.25">
      <c r="A81" s="3" t="s">
        <v>29</v>
      </c>
      <c r="B81" s="4" t="s">
        <v>11</v>
      </c>
      <c r="C81" s="4">
        <v>4</v>
      </c>
      <c r="D81" s="5">
        <f>IFERROR(C81/'Owner Totals (Pivot)(Task 4)'!B15,"")</f>
        <v>0.16</v>
      </c>
      <c r="E81" s="4">
        <v>4</v>
      </c>
      <c r="F81" s="4">
        <v>2</v>
      </c>
      <c r="G81" s="4">
        <v>2</v>
      </c>
      <c r="H81" s="5">
        <f t="shared" si="2"/>
        <v>0.5</v>
      </c>
      <c r="I81" s="23" t="s">
        <v>79</v>
      </c>
      <c r="K81">
        <f t="shared" si="3"/>
        <v>0.44</v>
      </c>
    </row>
    <row r="82" spans="1:11" ht="15" customHeight="1" x14ac:dyDescent="0.25">
      <c r="A82" s="6" t="s">
        <v>29</v>
      </c>
      <c r="B82" s="7" t="s">
        <v>12</v>
      </c>
      <c r="C82" s="7">
        <v>5</v>
      </c>
      <c r="D82" s="8">
        <f>IFERROR(C82/'Owner Totals (Pivot)(Task 4)'!B15,"")</f>
        <v>0.2</v>
      </c>
      <c r="E82" s="7">
        <v>5</v>
      </c>
      <c r="F82" s="7">
        <v>4</v>
      </c>
      <c r="G82" s="7">
        <v>4</v>
      </c>
      <c r="H82" s="8">
        <f t="shared" si="2"/>
        <v>0.8</v>
      </c>
      <c r="I82" s="7"/>
      <c r="K82">
        <f t="shared" si="3"/>
        <v>0.44</v>
      </c>
    </row>
    <row r="83" spans="1:11" ht="15" customHeight="1" x14ac:dyDescent="0.25">
      <c r="A83" s="3" t="s">
        <v>29</v>
      </c>
      <c r="B83" s="4" t="s">
        <v>13</v>
      </c>
      <c r="C83" s="4">
        <v>11</v>
      </c>
      <c r="D83" s="5">
        <f>IFERROR(C83/'Owner Totals (Pivot)(Task 4)'!B15,"")</f>
        <v>0.44</v>
      </c>
      <c r="E83" s="4">
        <v>10</v>
      </c>
      <c r="F83" s="4">
        <v>9</v>
      </c>
      <c r="G83" s="4">
        <v>6</v>
      </c>
      <c r="H83" s="5">
        <f t="shared" si="2"/>
        <v>0.54545454545454541</v>
      </c>
      <c r="I83" s="4"/>
      <c r="K83">
        <f t="shared" si="3"/>
        <v>0.44</v>
      </c>
    </row>
    <row r="84" spans="1:11" ht="15" customHeight="1" x14ac:dyDescent="0.25">
      <c r="A84" s="6" t="s">
        <v>29</v>
      </c>
      <c r="B84" s="7" t="s">
        <v>14</v>
      </c>
      <c r="C84" s="7">
        <v>4</v>
      </c>
      <c r="D84" s="8">
        <f>IFERROR(C84/'Owner Totals (Pivot)(Task 4)'!B15,"")</f>
        <v>0.16</v>
      </c>
      <c r="E84" s="7">
        <v>4</v>
      </c>
      <c r="F84" s="7">
        <v>4</v>
      </c>
      <c r="G84" s="7">
        <v>4</v>
      </c>
      <c r="H84" s="8">
        <f t="shared" si="2"/>
        <v>1</v>
      </c>
      <c r="I84" s="7"/>
      <c r="K84">
        <f t="shared" si="3"/>
        <v>0.44</v>
      </c>
    </row>
    <row r="85" spans="1:11" ht="15" customHeight="1" x14ac:dyDescent="0.25">
      <c r="A85" s="3" t="s">
        <v>29</v>
      </c>
      <c r="B85" s="4" t="s">
        <v>16</v>
      </c>
      <c r="C85" s="4">
        <v>1</v>
      </c>
      <c r="D85" s="5">
        <f>IFERROR(C85/'Owner Totals (Pivot)(Task 4)'!B15,"")</f>
        <v>0.04</v>
      </c>
      <c r="E85" s="4">
        <v>1</v>
      </c>
      <c r="F85" s="4">
        <v>1</v>
      </c>
      <c r="G85" s="4">
        <v>1</v>
      </c>
      <c r="H85" s="5">
        <f t="shared" si="2"/>
        <v>1</v>
      </c>
      <c r="I85" s="4"/>
      <c r="K85">
        <f t="shared" si="3"/>
        <v>0.44</v>
      </c>
    </row>
    <row r="86" spans="1:11" ht="15" customHeight="1" x14ac:dyDescent="0.25">
      <c r="A86" s="6" t="s">
        <v>30</v>
      </c>
      <c r="B86" s="7" t="s">
        <v>11</v>
      </c>
      <c r="C86" s="7">
        <v>10</v>
      </c>
      <c r="D86" s="8">
        <f>IFERROR(C86/'Owner Totals (Pivot)(Task 4)'!B16,"")</f>
        <v>0.22727272727272727</v>
      </c>
      <c r="E86" s="7">
        <v>9</v>
      </c>
      <c r="F86" s="7">
        <v>6</v>
      </c>
      <c r="G86" s="7">
        <v>5</v>
      </c>
      <c r="H86" s="8">
        <f t="shared" si="2"/>
        <v>0.5</v>
      </c>
      <c r="I86" s="23" t="s">
        <v>79</v>
      </c>
      <c r="K86">
        <f t="shared" si="3"/>
        <v>0.25</v>
      </c>
    </row>
    <row r="87" spans="1:11" ht="15" customHeight="1" x14ac:dyDescent="0.25">
      <c r="A87" s="3" t="s">
        <v>30</v>
      </c>
      <c r="B87" s="4" t="s">
        <v>12</v>
      </c>
      <c r="C87" s="4">
        <v>8</v>
      </c>
      <c r="D87" s="5">
        <f>IFERROR(C87/'Owner Totals (Pivot)(Task 4)'!B16,"")</f>
        <v>0.18181818181818182</v>
      </c>
      <c r="E87" s="4">
        <v>6</v>
      </c>
      <c r="F87" s="4">
        <v>5</v>
      </c>
      <c r="G87" s="4">
        <v>5</v>
      </c>
      <c r="H87" s="5">
        <f t="shared" si="2"/>
        <v>0.625</v>
      </c>
      <c r="I87" s="4"/>
      <c r="K87">
        <f t="shared" si="3"/>
        <v>0.25</v>
      </c>
    </row>
    <row r="88" spans="1:11" ht="15" customHeight="1" x14ac:dyDescent="0.25">
      <c r="A88" s="6" t="s">
        <v>30</v>
      </c>
      <c r="B88" s="7" t="s">
        <v>13</v>
      </c>
      <c r="C88" s="7">
        <v>11</v>
      </c>
      <c r="D88" s="8">
        <f>IFERROR(C88/'Owner Totals (Pivot)(Task 4)'!B16,"")</f>
        <v>0.25</v>
      </c>
      <c r="E88" s="7">
        <v>11</v>
      </c>
      <c r="F88" s="7">
        <v>10</v>
      </c>
      <c r="G88" s="7">
        <v>10</v>
      </c>
      <c r="H88" s="8">
        <f t="shared" si="2"/>
        <v>0.90909090909090906</v>
      </c>
      <c r="I88" s="7"/>
      <c r="K88">
        <f t="shared" si="3"/>
        <v>0.25</v>
      </c>
    </row>
    <row r="89" spans="1:11" ht="15" customHeight="1" x14ac:dyDescent="0.25">
      <c r="A89" s="3" t="s">
        <v>30</v>
      </c>
      <c r="B89" s="4" t="s">
        <v>14</v>
      </c>
      <c r="C89" s="4">
        <v>8</v>
      </c>
      <c r="D89" s="5">
        <f>IFERROR(C89/'Owner Totals (Pivot)(Task 4)'!B16,"")</f>
        <v>0.18181818181818182</v>
      </c>
      <c r="E89" s="4">
        <v>7</v>
      </c>
      <c r="F89" s="4">
        <v>6</v>
      </c>
      <c r="G89" s="4">
        <v>6</v>
      </c>
      <c r="H89" s="5">
        <f t="shared" si="2"/>
        <v>0.75</v>
      </c>
      <c r="I89" s="4"/>
      <c r="K89">
        <f t="shared" si="3"/>
        <v>0.25</v>
      </c>
    </row>
    <row r="90" spans="1:11" ht="15" customHeight="1" x14ac:dyDescent="0.25">
      <c r="A90" s="6" t="s">
        <v>30</v>
      </c>
      <c r="B90" s="7" t="s">
        <v>15</v>
      </c>
      <c r="C90" s="7">
        <v>4</v>
      </c>
      <c r="D90" s="8">
        <f>IFERROR(C90/'Owner Totals (Pivot)(Task 4)'!B16,"")</f>
        <v>9.0909090909090912E-2</v>
      </c>
      <c r="E90" s="7">
        <v>4</v>
      </c>
      <c r="F90" s="7">
        <v>3</v>
      </c>
      <c r="G90" s="7">
        <v>4</v>
      </c>
      <c r="H90" s="8">
        <f t="shared" si="2"/>
        <v>1</v>
      </c>
      <c r="I90" s="7"/>
      <c r="K90">
        <f t="shared" si="3"/>
        <v>0.25</v>
      </c>
    </row>
    <row r="91" spans="1:11" ht="15" customHeight="1" x14ac:dyDescent="0.25">
      <c r="A91" s="3" t="s">
        <v>30</v>
      </c>
      <c r="B91" s="4" t="s">
        <v>16</v>
      </c>
      <c r="C91" s="4">
        <v>2</v>
      </c>
      <c r="D91" s="5">
        <f>IFERROR(C91/'Owner Totals (Pivot)(Task 4)'!B16,"")</f>
        <v>4.5454545454545456E-2</v>
      </c>
      <c r="E91" s="4">
        <v>2</v>
      </c>
      <c r="F91" s="4">
        <v>1</v>
      </c>
      <c r="G91" s="4">
        <v>1</v>
      </c>
      <c r="H91" s="5">
        <f t="shared" si="2"/>
        <v>0.5</v>
      </c>
      <c r="I91" s="4"/>
      <c r="K91">
        <f t="shared" si="3"/>
        <v>0.25</v>
      </c>
    </row>
    <row r="92" spans="1:11" ht="15" customHeight="1" x14ac:dyDescent="0.25">
      <c r="A92" s="6" t="s">
        <v>30</v>
      </c>
      <c r="B92" s="7" t="s">
        <v>17</v>
      </c>
      <c r="C92" s="7">
        <v>1</v>
      </c>
      <c r="D92" s="8">
        <f>IFERROR(C92/'Owner Totals (Pivot)(Task 4)'!B16,"")</f>
        <v>2.2727272727272728E-2</v>
      </c>
      <c r="E92" s="7">
        <v>1</v>
      </c>
      <c r="F92" s="7">
        <v>1</v>
      </c>
      <c r="G92" s="7">
        <v>1</v>
      </c>
      <c r="H92" s="8">
        <f t="shared" si="2"/>
        <v>1</v>
      </c>
      <c r="I92" s="7"/>
      <c r="K92">
        <f t="shared" si="3"/>
        <v>0.25</v>
      </c>
    </row>
    <row r="93" spans="1:11" ht="15" customHeight="1" x14ac:dyDescent="0.25">
      <c r="A93" s="3" t="s">
        <v>31</v>
      </c>
      <c r="B93" s="4" t="s">
        <v>11</v>
      </c>
      <c r="C93" s="4">
        <v>95</v>
      </c>
      <c r="D93" s="5">
        <f>IFERROR(C93/'Owner Totals (Pivot)(Task 4)'!B17,"")</f>
        <v>0.32423208191126279</v>
      </c>
      <c r="E93" s="4">
        <v>67</v>
      </c>
      <c r="F93" s="4">
        <v>52</v>
      </c>
      <c r="G93" s="4">
        <v>43</v>
      </c>
      <c r="H93" s="5">
        <f t="shared" si="2"/>
        <v>0.45263157894736844</v>
      </c>
      <c r="I93" s="23" t="s">
        <v>79</v>
      </c>
      <c r="K93">
        <f t="shared" si="3"/>
        <v>0.32423208191126279</v>
      </c>
    </row>
    <row r="94" spans="1:11" ht="15" customHeight="1" x14ac:dyDescent="0.25">
      <c r="A94" s="6" t="s">
        <v>31</v>
      </c>
      <c r="B94" s="7" t="s">
        <v>12</v>
      </c>
      <c r="C94" s="7">
        <v>43</v>
      </c>
      <c r="D94" s="8">
        <f>IFERROR(C94/'Owner Totals (Pivot)(Task 4)'!B17,"")</f>
        <v>0.14675767918088736</v>
      </c>
      <c r="E94" s="7">
        <v>38</v>
      </c>
      <c r="F94" s="7">
        <v>33</v>
      </c>
      <c r="G94" s="7">
        <v>26</v>
      </c>
      <c r="H94" s="8">
        <f t="shared" si="2"/>
        <v>0.60465116279069764</v>
      </c>
      <c r="I94" s="7"/>
      <c r="K94">
        <f t="shared" si="3"/>
        <v>0.32423208191126279</v>
      </c>
    </row>
    <row r="95" spans="1:11" ht="15" customHeight="1" x14ac:dyDescent="0.25">
      <c r="A95" s="3" t="s">
        <v>31</v>
      </c>
      <c r="B95" s="4" t="s">
        <v>13</v>
      </c>
      <c r="C95" s="4">
        <v>90</v>
      </c>
      <c r="D95" s="5">
        <f>IFERROR(C95/'Owner Totals (Pivot)(Task 4)'!B17,"")</f>
        <v>0.30716723549488056</v>
      </c>
      <c r="E95" s="4">
        <v>75</v>
      </c>
      <c r="F95" s="4">
        <v>60</v>
      </c>
      <c r="G95" s="4">
        <v>55</v>
      </c>
      <c r="H95" s="5">
        <f t="shared" si="2"/>
        <v>0.61111111111111116</v>
      </c>
      <c r="I95" s="4"/>
      <c r="K95">
        <f t="shared" si="3"/>
        <v>0.32423208191126279</v>
      </c>
    </row>
    <row r="96" spans="1:11" ht="15" customHeight="1" x14ac:dyDescent="0.25">
      <c r="A96" s="6" t="s">
        <v>31</v>
      </c>
      <c r="B96" s="7" t="s">
        <v>14</v>
      </c>
      <c r="C96" s="7">
        <v>37</v>
      </c>
      <c r="D96" s="8">
        <f>IFERROR(C96/'Owner Totals (Pivot)(Task 4)'!B17,"")</f>
        <v>0.12627986348122866</v>
      </c>
      <c r="E96" s="7">
        <v>33</v>
      </c>
      <c r="F96" s="7">
        <v>28</v>
      </c>
      <c r="G96" s="7">
        <v>23</v>
      </c>
      <c r="H96" s="8">
        <f t="shared" si="2"/>
        <v>0.6216216216216216</v>
      </c>
      <c r="I96" s="7"/>
      <c r="K96">
        <f t="shared" si="3"/>
        <v>0.32423208191126279</v>
      </c>
    </row>
    <row r="97" spans="1:11" ht="15" customHeight="1" x14ac:dyDescent="0.25">
      <c r="A97" s="3" t="s">
        <v>31</v>
      </c>
      <c r="B97" s="4" t="s">
        <v>15</v>
      </c>
      <c r="C97" s="4">
        <v>21</v>
      </c>
      <c r="D97" s="5">
        <f>IFERROR(C97/'Owner Totals (Pivot)(Task 4)'!B17,"")</f>
        <v>7.1672354948805458E-2</v>
      </c>
      <c r="E97" s="4">
        <v>19</v>
      </c>
      <c r="F97" s="4">
        <v>17</v>
      </c>
      <c r="G97" s="4">
        <v>17</v>
      </c>
      <c r="H97" s="5">
        <f t="shared" si="2"/>
        <v>0.80952380952380953</v>
      </c>
      <c r="I97" s="4"/>
      <c r="K97">
        <f t="shared" si="3"/>
        <v>0.32423208191126279</v>
      </c>
    </row>
    <row r="98" spans="1:11" ht="15" customHeight="1" x14ac:dyDescent="0.25">
      <c r="A98" s="6" t="s">
        <v>31</v>
      </c>
      <c r="B98" s="7" t="s">
        <v>16</v>
      </c>
      <c r="C98" s="7">
        <v>5</v>
      </c>
      <c r="D98" s="8">
        <f>IFERROR(C98/'Owner Totals (Pivot)(Task 4)'!B17,"")</f>
        <v>1.7064846416382253E-2</v>
      </c>
      <c r="E98" s="7">
        <v>4</v>
      </c>
      <c r="F98" s="7">
        <v>4</v>
      </c>
      <c r="G98" s="7">
        <v>4</v>
      </c>
      <c r="H98" s="8">
        <f t="shared" si="2"/>
        <v>0.8</v>
      </c>
      <c r="I98" s="7"/>
      <c r="K98">
        <f t="shared" si="3"/>
        <v>0.32423208191126279</v>
      </c>
    </row>
    <row r="99" spans="1:11" ht="15" customHeight="1" x14ac:dyDescent="0.25">
      <c r="A99" s="3" t="s">
        <v>31</v>
      </c>
      <c r="B99" s="4" t="s">
        <v>17</v>
      </c>
      <c r="C99" s="4">
        <v>2</v>
      </c>
      <c r="D99" s="5">
        <f>IFERROR(C99/'Owner Totals (Pivot)(Task 4)'!B17,"")</f>
        <v>6.8259385665529011E-3</v>
      </c>
      <c r="E99" s="4">
        <v>2</v>
      </c>
      <c r="F99" s="4">
        <v>2</v>
      </c>
      <c r="G99" s="4">
        <v>2</v>
      </c>
      <c r="H99" s="5">
        <f t="shared" si="2"/>
        <v>1</v>
      </c>
      <c r="I99" s="4"/>
      <c r="K99">
        <f t="shared" si="3"/>
        <v>0.32423208191126279</v>
      </c>
    </row>
    <row r="100" spans="1:11" ht="15" customHeight="1" x14ac:dyDescent="0.25">
      <c r="A100" s="6" t="s">
        <v>32</v>
      </c>
      <c r="B100" s="7" t="s">
        <v>11</v>
      </c>
      <c r="C100" s="7">
        <v>3</v>
      </c>
      <c r="D100" s="8">
        <f>IFERROR(C100/'Owner Totals (Pivot)(Task 4)'!B18,"")</f>
        <v>0.21428571428571427</v>
      </c>
      <c r="E100" s="7">
        <v>3</v>
      </c>
      <c r="F100" s="7">
        <v>2</v>
      </c>
      <c r="G100" s="7">
        <v>2</v>
      </c>
      <c r="H100" s="8">
        <f t="shared" si="2"/>
        <v>0.66666666666666663</v>
      </c>
      <c r="I100" s="23" t="s">
        <v>79</v>
      </c>
      <c r="K100">
        <f t="shared" si="3"/>
        <v>0.5714285714285714</v>
      </c>
    </row>
    <row r="101" spans="1:11" ht="15" customHeight="1" x14ac:dyDescent="0.25">
      <c r="A101" s="3" t="s">
        <v>32</v>
      </c>
      <c r="B101" s="4" t="s">
        <v>12</v>
      </c>
      <c r="C101" s="4">
        <v>1</v>
      </c>
      <c r="D101" s="5">
        <f>IFERROR(C101/'Owner Totals (Pivot)(Task 4)'!B18,"")</f>
        <v>7.1428571428571425E-2</v>
      </c>
      <c r="E101" s="4">
        <v>1</v>
      </c>
      <c r="F101" s="4">
        <v>0</v>
      </c>
      <c r="G101" s="4">
        <v>0</v>
      </c>
      <c r="H101" s="5">
        <f t="shared" si="2"/>
        <v>0</v>
      </c>
      <c r="I101" s="4"/>
      <c r="K101">
        <f t="shared" si="3"/>
        <v>0.5714285714285714</v>
      </c>
    </row>
    <row r="102" spans="1:11" ht="15" customHeight="1" x14ac:dyDescent="0.25">
      <c r="A102" s="6" t="s">
        <v>32</v>
      </c>
      <c r="B102" s="7" t="s">
        <v>13</v>
      </c>
      <c r="C102" s="7">
        <v>8</v>
      </c>
      <c r="D102" s="8">
        <f>IFERROR(C102/'Owner Totals (Pivot)(Task 4)'!B18,"")</f>
        <v>0.5714285714285714</v>
      </c>
      <c r="E102" s="7">
        <v>6</v>
      </c>
      <c r="F102" s="7">
        <v>6</v>
      </c>
      <c r="G102" s="7">
        <v>6</v>
      </c>
      <c r="H102" s="8">
        <f t="shared" si="2"/>
        <v>0.75</v>
      </c>
      <c r="I102" s="7"/>
      <c r="K102">
        <f t="shared" si="3"/>
        <v>0.5714285714285714</v>
      </c>
    </row>
    <row r="103" spans="1:11" ht="15" customHeight="1" x14ac:dyDescent="0.25">
      <c r="A103" s="3" t="s">
        <v>32</v>
      </c>
      <c r="B103" s="4" t="s">
        <v>15</v>
      </c>
      <c r="C103" s="4">
        <v>1</v>
      </c>
      <c r="D103" s="5">
        <f>IFERROR(C103/'Owner Totals (Pivot)(Task 4)'!B18,"")</f>
        <v>7.1428571428571425E-2</v>
      </c>
      <c r="E103" s="4">
        <v>1</v>
      </c>
      <c r="F103" s="4">
        <v>1</v>
      </c>
      <c r="G103" s="4">
        <v>1</v>
      </c>
      <c r="H103" s="5">
        <f t="shared" si="2"/>
        <v>1</v>
      </c>
      <c r="I103" s="4"/>
      <c r="K103">
        <f t="shared" si="3"/>
        <v>0.5714285714285714</v>
      </c>
    </row>
    <row r="104" spans="1:11" ht="15" customHeight="1" x14ac:dyDescent="0.25">
      <c r="A104" s="6" t="s">
        <v>32</v>
      </c>
      <c r="B104" s="7" t="s">
        <v>16</v>
      </c>
      <c r="C104" s="7">
        <v>1</v>
      </c>
      <c r="D104" s="8">
        <f>IFERROR(C104/'Owner Totals (Pivot)(Task 4)'!B18,"")</f>
        <v>7.1428571428571425E-2</v>
      </c>
      <c r="E104" s="7">
        <v>1</v>
      </c>
      <c r="F104" s="7">
        <v>1</v>
      </c>
      <c r="G104" s="7">
        <v>1</v>
      </c>
      <c r="H104" s="8">
        <f t="shared" si="2"/>
        <v>1</v>
      </c>
      <c r="I104" s="7"/>
      <c r="K104">
        <f t="shared" si="3"/>
        <v>0.5714285714285714</v>
      </c>
    </row>
    <row r="105" spans="1:11" ht="15" customHeight="1" x14ac:dyDescent="0.25">
      <c r="A105" s="3" t="s">
        <v>33</v>
      </c>
      <c r="B105" s="4" t="s">
        <v>11</v>
      </c>
      <c r="C105" s="4">
        <v>36</v>
      </c>
      <c r="D105" s="5">
        <f>IFERROR(C105/'Owner Totals (Pivot)(Task 4)'!B19,"")</f>
        <v>0.22784810126582278</v>
      </c>
      <c r="E105" s="4">
        <v>33</v>
      </c>
      <c r="F105" s="4">
        <v>26</v>
      </c>
      <c r="G105" s="4">
        <v>24</v>
      </c>
      <c r="H105" s="5">
        <f t="shared" si="2"/>
        <v>0.66666666666666663</v>
      </c>
      <c r="I105" s="23" t="s">
        <v>79</v>
      </c>
      <c r="K105">
        <f t="shared" si="3"/>
        <v>0.310126582278481</v>
      </c>
    </row>
    <row r="106" spans="1:11" ht="15" customHeight="1" x14ac:dyDescent="0.25">
      <c r="A106" s="6" t="s">
        <v>33</v>
      </c>
      <c r="B106" s="7" t="s">
        <v>12</v>
      </c>
      <c r="C106" s="7">
        <v>22</v>
      </c>
      <c r="D106" s="8">
        <f>IFERROR(C106/'Owner Totals (Pivot)(Task 4)'!B19,"")</f>
        <v>0.13924050632911392</v>
      </c>
      <c r="E106" s="7">
        <v>21</v>
      </c>
      <c r="F106" s="7">
        <v>18</v>
      </c>
      <c r="G106" s="7">
        <v>12</v>
      </c>
      <c r="H106" s="8">
        <f t="shared" si="2"/>
        <v>0.54545454545454541</v>
      </c>
      <c r="I106" s="7"/>
      <c r="K106">
        <f t="shared" si="3"/>
        <v>0.310126582278481</v>
      </c>
    </row>
    <row r="107" spans="1:11" ht="15" customHeight="1" x14ac:dyDescent="0.25">
      <c r="A107" s="3" t="s">
        <v>33</v>
      </c>
      <c r="B107" s="4" t="s">
        <v>13</v>
      </c>
      <c r="C107" s="4">
        <v>49</v>
      </c>
      <c r="D107" s="5">
        <f>IFERROR(C107/'Owner Totals (Pivot)(Task 4)'!B19,"")</f>
        <v>0.310126582278481</v>
      </c>
      <c r="E107" s="4">
        <v>44</v>
      </c>
      <c r="F107" s="4">
        <v>39</v>
      </c>
      <c r="G107" s="4">
        <v>34</v>
      </c>
      <c r="H107" s="5">
        <f t="shared" si="2"/>
        <v>0.69387755102040816</v>
      </c>
      <c r="I107" s="4"/>
      <c r="K107">
        <f t="shared" si="3"/>
        <v>0.310126582278481</v>
      </c>
    </row>
    <row r="108" spans="1:11" ht="15" customHeight="1" x14ac:dyDescent="0.25">
      <c r="A108" s="6" t="s">
        <v>33</v>
      </c>
      <c r="B108" s="7" t="s">
        <v>14</v>
      </c>
      <c r="C108" s="7">
        <v>26</v>
      </c>
      <c r="D108" s="8">
        <f>IFERROR(C108/'Owner Totals (Pivot)(Task 4)'!B19,"")</f>
        <v>0.16455696202531644</v>
      </c>
      <c r="E108" s="7">
        <v>22</v>
      </c>
      <c r="F108" s="7">
        <v>22</v>
      </c>
      <c r="G108" s="7">
        <v>22</v>
      </c>
      <c r="H108" s="8">
        <f t="shared" si="2"/>
        <v>0.84615384615384615</v>
      </c>
      <c r="I108" s="7"/>
      <c r="K108">
        <f t="shared" si="3"/>
        <v>0.310126582278481</v>
      </c>
    </row>
    <row r="109" spans="1:11" ht="15" customHeight="1" x14ac:dyDescent="0.25">
      <c r="A109" s="3" t="s">
        <v>33</v>
      </c>
      <c r="B109" s="4" t="s">
        <v>15</v>
      </c>
      <c r="C109" s="4">
        <v>18</v>
      </c>
      <c r="D109" s="5">
        <f>IFERROR(C109/'Owner Totals (Pivot)(Task 4)'!B19,"")</f>
        <v>0.11392405063291139</v>
      </c>
      <c r="E109" s="4">
        <v>16</v>
      </c>
      <c r="F109" s="4">
        <v>15</v>
      </c>
      <c r="G109" s="4">
        <v>14</v>
      </c>
      <c r="H109" s="5">
        <f t="shared" si="2"/>
        <v>0.77777777777777779</v>
      </c>
      <c r="I109" s="4"/>
      <c r="K109">
        <f t="shared" si="3"/>
        <v>0.310126582278481</v>
      </c>
    </row>
    <row r="110" spans="1:11" ht="15" customHeight="1" x14ac:dyDescent="0.25">
      <c r="A110" s="6" t="s">
        <v>33</v>
      </c>
      <c r="B110" s="7" t="s">
        <v>16</v>
      </c>
      <c r="C110" s="7">
        <v>7</v>
      </c>
      <c r="D110" s="8">
        <f>IFERROR(C110/'Owner Totals (Pivot)(Task 4)'!B19,"")</f>
        <v>4.4303797468354431E-2</v>
      </c>
      <c r="E110" s="7">
        <v>7</v>
      </c>
      <c r="F110" s="7">
        <v>7</v>
      </c>
      <c r="G110" s="7">
        <v>7</v>
      </c>
      <c r="H110" s="8">
        <f t="shared" si="2"/>
        <v>1</v>
      </c>
      <c r="I110" s="7"/>
      <c r="K110">
        <f t="shared" si="3"/>
        <v>0.310126582278481</v>
      </c>
    </row>
    <row r="111" spans="1:11" ht="15" customHeight="1" x14ac:dyDescent="0.25">
      <c r="A111" s="3" t="s">
        <v>34</v>
      </c>
      <c r="B111" s="4" t="s">
        <v>11</v>
      </c>
      <c r="C111" s="4">
        <v>66</v>
      </c>
      <c r="D111" s="5">
        <f>IFERROR(C111/'Owner Totals (Pivot)(Task 4)'!B20,"")</f>
        <v>0.22147651006711411</v>
      </c>
      <c r="E111" s="4">
        <v>51</v>
      </c>
      <c r="F111" s="4">
        <v>36</v>
      </c>
      <c r="G111" s="4">
        <v>34</v>
      </c>
      <c r="H111" s="5">
        <f t="shared" si="2"/>
        <v>0.51515151515151514</v>
      </c>
      <c r="I111" s="23" t="s">
        <v>79</v>
      </c>
      <c r="K111">
        <f t="shared" si="3"/>
        <v>0.29530201342281881</v>
      </c>
    </row>
    <row r="112" spans="1:11" ht="15" customHeight="1" x14ac:dyDescent="0.25">
      <c r="A112" s="6" t="s">
        <v>34</v>
      </c>
      <c r="B112" s="7" t="s">
        <v>12</v>
      </c>
      <c r="C112" s="7">
        <v>66</v>
      </c>
      <c r="D112" s="8">
        <f>IFERROR(C112/'Owner Totals (Pivot)(Task 4)'!B20,"")</f>
        <v>0.22147651006711411</v>
      </c>
      <c r="E112" s="7">
        <v>59</v>
      </c>
      <c r="F112" s="7">
        <v>52</v>
      </c>
      <c r="G112" s="7">
        <v>46</v>
      </c>
      <c r="H112" s="8">
        <f t="shared" si="2"/>
        <v>0.69696969696969702</v>
      </c>
      <c r="I112" s="7"/>
      <c r="K112">
        <f t="shared" si="3"/>
        <v>0.29530201342281881</v>
      </c>
    </row>
    <row r="113" spans="1:11" ht="15" customHeight="1" x14ac:dyDescent="0.25">
      <c r="A113" s="3" t="s">
        <v>34</v>
      </c>
      <c r="B113" s="4" t="s">
        <v>13</v>
      </c>
      <c r="C113" s="4">
        <v>88</v>
      </c>
      <c r="D113" s="5">
        <f>IFERROR(C113/'Owner Totals (Pivot)(Task 4)'!B20,"")</f>
        <v>0.29530201342281881</v>
      </c>
      <c r="E113" s="4">
        <v>79</v>
      </c>
      <c r="F113" s="4">
        <v>68</v>
      </c>
      <c r="G113" s="4">
        <v>60</v>
      </c>
      <c r="H113" s="5">
        <f t="shared" si="2"/>
        <v>0.68181818181818177</v>
      </c>
      <c r="I113" s="4"/>
      <c r="K113">
        <f t="shared" si="3"/>
        <v>0.29530201342281881</v>
      </c>
    </row>
    <row r="114" spans="1:11" ht="15" customHeight="1" x14ac:dyDescent="0.25">
      <c r="A114" s="6" t="s">
        <v>34</v>
      </c>
      <c r="B114" s="7" t="s">
        <v>14</v>
      </c>
      <c r="C114" s="7">
        <v>42</v>
      </c>
      <c r="D114" s="8">
        <f>IFERROR(C114/'Owner Totals (Pivot)(Task 4)'!B20,"")</f>
        <v>0.14093959731543623</v>
      </c>
      <c r="E114" s="7">
        <v>36</v>
      </c>
      <c r="F114" s="7">
        <v>34</v>
      </c>
      <c r="G114" s="7">
        <v>28</v>
      </c>
      <c r="H114" s="8">
        <f t="shared" si="2"/>
        <v>0.66666666666666663</v>
      </c>
      <c r="I114" s="7"/>
      <c r="K114">
        <f t="shared" si="3"/>
        <v>0.29530201342281881</v>
      </c>
    </row>
    <row r="115" spans="1:11" ht="15" customHeight="1" x14ac:dyDescent="0.25">
      <c r="A115" s="3" t="s">
        <v>34</v>
      </c>
      <c r="B115" s="4" t="s">
        <v>15</v>
      </c>
      <c r="C115" s="4">
        <v>22</v>
      </c>
      <c r="D115" s="5">
        <f>IFERROR(C115/'Owner Totals (Pivot)(Task 4)'!B20,"")</f>
        <v>7.3825503355704702E-2</v>
      </c>
      <c r="E115" s="4">
        <v>20</v>
      </c>
      <c r="F115" s="4">
        <v>18</v>
      </c>
      <c r="G115" s="4">
        <v>17</v>
      </c>
      <c r="H115" s="5">
        <f t="shared" si="2"/>
        <v>0.77272727272727271</v>
      </c>
      <c r="I115" s="4"/>
      <c r="K115">
        <f t="shared" si="3"/>
        <v>0.29530201342281881</v>
      </c>
    </row>
    <row r="116" spans="1:11" ht="15" customHeight="1" x14ac:dyDescent="0.25">
      <c r="A116" s="6" t="s">
        <v>34</v>
      </c>
      <c r="B116" s="7" t="s">
        <v>16</v>
      </c>
      <c r="C116" s="7">
        <v>6</v>
      </c>
      <c r="D116" s="8">
        <f>IFERROR(C116/'Owner Totals (Pivot)(Task 4)'!B20,"")</f>
        <v>2.0134228187919462E-2</v>
      </c>
      <c r="E116" s="7">
        <v>6</v>
      </c>
      <c r="F116" s="7">
        <v>6</v>
      </c>
      <c r="G116" s="7">
        <v>6</v>
      </c>
      <c r="H116" s="8">
        <f t="shared" si="2"/>
        <v>1</v>
      </c>
      <c r="I116" s="7"/>
      <c r="K116">
        <f t="shared" si="3"/>
        <v>0.29530201342281881</v>
      </c>
    </row>
    <row r="117" spans="1:11" ht="15" customHeight="1" x14ac:dyDescent="0.25">
      <c r="A117" s="3" t="s">
        <v>34</v>
      </c>
      <c r="B117" s="4" t="s">
        <v>17</v>
      </c>
      <c r="C117" s="4">
        <v>8</v>
      </c>
      <c r="D117" s="5">
        <f>IFERROR(C117/'Owner Totals (Pivot)(Task 4)'!B20,"")</f>
        <v>2.6845637583892617E-2</v>
      </c>
      <c r="E117" s="4">
        <v>8</v>
      </c>
      <c r="F117" s="4">
        <v>8</v>
      </c>
      <c r="G117" s="4">
        <v>8</v>
      </c>
      <c r="H117" s="5">
        <f t="shared" si="2"/>
        <v>1</v>
      </c>
      <c r="I117" s="4"/>
      <c r="K117">
        <f t="shared" si="3"/>
        <v>0.29530201342281881</v>
      </c>
    </row>
    <row r="118" spans="1:11" ht="15" customHeight="1" x14ac:dyDescent="0.25">
      <c r="A118" s="6" t="s">
        <v>35</v>
      </c>
      <c r="B118" s="7" t="s">
        <v>11</v>
      </c>
      <c r="C118" s="7">
        <v>51</v>
      </c>
      <c r="D118" s="8">
        <f>IFERROR(C118/'Owner Totals (Pivot)(Task 4)'!B21,"")</f>
        <v>0.23181818181818181</v>
      </c>
      <c r="E118" s="7">
        <v>49</v>
      </c>
      <c r="F118" s="7">
        <v>42</v>
      </c>
      <c r="G118" s="7">
        <v>36</v>
      </c>
      <c r="H118" s="8">
        <f t="shared" si="2"/>
        <v>0.70588235294117652</v>
      </c>
      <c r="I118" s="4" t="s">
        <v>77</v>
      </c>
      <c r="K118">
        <f t="shared" si="3"/>
        <v>0.34545454545454546</v>
      </c>
    </row>
    <row r="119" spans="1:11" ht="15" customHeight="1" x14ac:dyDescent="0.25">
      <c r="A119" s="3" t="s">
        <v>35</v>
      </c>
      <c r="B119" s="4" t="s">
        <v>12</v>
      </c>
      <c r="C119" s="4">
        <v>39</v>
      </c>
      <c r="D119" s="5">
        <f>IFERROR(C119/'Owner Totals (Pivot)(Task 4)'!B21,"")</f>
        <v>0.17727272727272728</v>
      </c>
      <c r="E119" s="4">
        <v>35</v>
      </c>
      <c r="F119" s="4">
        <v>28</v>
      </c>
      <c r="G119" s="4">
        <v>26</v>
      </c>
      <c r="H119" s="5">
        <f t="shared" si="2"/>
        <v>0.66666666666666663</v>
      </c>
      <c r="I119" s="4"/>
      <c r="K119">
        <f t="shared" si="3"/>
        <v>0.34545454545454546</v>
      </c>
    </row>
    <row r="120" spans="1:11" ht="15" customHeight="1" x14ac:dyDescent="0.25">
      <c r="A120" s="6" t="s">
        <v>35</v>
      </c>
      <c r="B120" s="7" t="s">
        <v>13</v>
      </c>
      <c r="C120" s="7">
        <v>76</v>
      </c>
      <c r="D120" s="8">
        <f>IFERROR(C120/'Owner Totals (Pivot)(Task 4)'!B21,"")</f>
        <v>0.34545454545454546</v>
      </c>
      <c r="E120" s="7">
        <v>68</v>
      </c>
      <c r="F120" s="7">
        <v>59</v>
      </c>
      <c r="G120" s="7">
        <v>49</v>
      </c>
      <c r="H120" s="8">
        <f t="shared" si="2"/>
        <v>0.64473684210526316</v>
      </c>
      <c r="I120" s="7"/>
      <c r="K120">
        <f t="shared" si="3"/>
        <v>0.34545454545454546</v>
      </c>
    </row>
    <row r="121" spans="1:11" ht="15" customHeight="1" x14ac:dyDescent="0.25">
      <c r="A121" s="3" t="s">
        <v>35</v>
      </c>
      <c r="B121" s="4" t="s">
        <v>14</v>
      </c>
      <c r="C121" s="4">
        <v>27</v>
      </c>
      <c r="D121" s="5">
        <f>IFERROR(C121/'Owner Totals (Pivot)(Task 4)'!B21,"")</f>
        <v>0.12272727272727273</v>
      </c>
      <c r="E121" s="4">
        <v>25</v>
      </c>
      <c r="F121" s="4">
        <v>24</v>
      </c>
      <c r="G121" s="4">
        <v>22</v>
      </c>
      <c r="H121" s="5">
        <f t="shared" si="2"/>
        <v>0.81481481481481477</v>
      </c>
      <c r="I121" s="4"/>
      <c r="K121">
        <f t="shared" si="3"/>
        <v>0.34545454545454546</v>
      </c>
    </row>
    <row r="122" spans="1:11" ht="15" customHeight="1" x14ac:dyDescent="0.25">
      <c r="A122" s="6" t="s">
        <v>35</v>
      </c>
      <c r="B122" s="7" t="s">
        <v>15</v>
      </c>
      <c r="C122" s="7">
        <v>10</v>
      </c>
      <c r="D122" s="8">
        <f>IFERROR(C122/'Owner Totals (Pivot)(Task 4)'!B21,"")</f>
        <v>4.5454545454545456E-2</v>
      </c>
      <c r="E122" s="7">
        <v>9</v>
      </c>
      <c r="F122" s="7">
        <v>8</v>
      </c>
      <c r="G122" s="7">
        <v>7</v>
      </c>
      <c r="H122" s="8">
        <f t="shared" si="2"/>
        <v>0.7</v>
      </c>
      <c r="I122" s="7"/>
      <c r="K122">
        <f t="shared" si="3"/>
        <v>0.34545454545454546</v>
      </c>
    </row>
    <row r="123" spans="1:11" ht="15" customHeight="1" x14ac:dyDescent="0.25">
      <c r="A123" s="3" t="s">
        <v>35</v>
      </c>
      <c r="B123" s="4" t="s">
        <v>16</v>
      </c>
      <c r="C123" s="4">
        <v>5</v>
      </c>
      <c r="D123" s="5">
        <f>IFERROR(C123/'Owner Totals (Pivot)(Task 4)'!B21,"")</f>
        <v>2.2727272727272728E-2</v>
      </c>
      <c r="E123" s="4">
        <v>5</v>
      </c>
      <c r="F123" s="4">
        <v>4</v>
      </c>
      <c r="G123" s="4">
        <v>4</v>
      </c>
      <c r="H123" s="5">
        <f t="shared" si="2"/>
        <v>0.8</v>
      </c>
      <c r="I123" s="4"/>
      <c r="K123">
        <f t="shared" si="3"/>
        <v>0.34545454545454546</v>
      </c>
    </row>
    <row r="124" spans="1:11" ht="15" customHeight="1" x14ac:dyDescent="0.25">
      <c r="A124" s="6" t="s">
        <v>35</v>
      </c>
      <c r="B124" s="7" t="s">
        <v>17</v>
      </c>
      <c r="C124" s="7">
        <v>12</v>
      </c>
      <c r="D124" s="8">
        <f>IFERROR(C124/'Owner Totals (Pivot)(Task 4)'!B21,"")</f>
        <v>5.4545454545454543E-2</v>
      </c>
      <c r="E124" s="7">
        <v>9</v>
      </c>
      <c r="F124" s="7">
        <v>9</v>
      </c>
      <c r="G124" s="7">
        <v>9</v>
      </c>
      <c r="H124" s="8">
        <f t="shared" si="2"/>
        <v>0.75</v>
      </c>
      <c r="I124" s="7"/>
      <c r="K124">
        <f t="shared" si="3"/>
        <v>0.34545454545454546</v>
      </c>
    </row>
    <row r="125" spans="1:11" ht="15" customHeight="1" x14ac:dyDescent="0.25">
      <c r="A125" s="3" t="s">
        <v>36</v>
      </c>
      <c r="B125" s="4" t="s">
        <v>11</v>
      </c>
      <c r="C125" s="4">
        <v>63</v>
      </c>
      <c r="D125" s="5">
        <f>IFERROR(C125/'Owner Totals (Pivot)(Task 4)'!B22,"")</f>
        <v>0.18975903614457831</v>
      </c>
      <c r="E125" s="4">
        <v>59</v>
      </c>
      <c r="F125" s="4">
        <v>44</v>
      </c>
      <c r="G125" s="4">
        <v>39</v>
      </c>
      <c r="H125" s="5">
        <f t="shared" si="2"/>
        <v>0.61904761904761907</v>
      </c>
      <c r="I125" s="23" t="s">
        <v>79</v>
      </c>
      <c r="K125">
        <f t="shared" si="3"/>
        <v>0.29819277108433734</v>
      </c>
    </row>
    <row r="126" spans="1:11" ht="15" customHeight="1" x14ac:dyDescent="0.25">
      <c r="A126" s="6" t="s">
        <v>36</v>
      </c>
      <c r="B126" s="7" t="s">
        <v>12</v>
      </c>
      <c r="C126" s="7">
        <v>36</v>
      </c>
      <c r="D126" s="8">
        <f>IFERROR(C126/'Owner Totals (Pivot)(Task 4)'!B22,"")</f>
        <v>0.10843373493975904</v>
      </c>
      <c r="E126" s="7">
        <v>32</v>
      </c>
      <c r="F126" s="7">
        <v>29</v>
      </c>
      <c r="G126" s="7">
        <v>26</v>
      </c>
      <c r="H126" s="8">
        <f t="shared" si="2"/>
        <v>0.72222222222222221</v>
      </c>
      <c r="I126" s="7"/>
      <c r="K126">
        <f t="shared" si="3"/>
        <v>0.29819277108433734</v>
      </c>
    </row>
    <row r="127" spans="1:11" ht="15" customHeight="1" x14ac:dyDescent="0.25">
      <c r="A127" s="3" t="s">
        <v>36</v>
      </c>
      <c r="B127" s="4" t="s">
        <v>13</v>
      </c>
      <c r="C127" s="4">
        <v>99</v>
      </c>
      <c r="D127" s="5">
        <f>IFERROR(C127/'Owner Totals (Pivot)(Task 4)'!B22,"")</f>
        <v>0.29819277108433734</v>
      </c>
      <c r="E127" s="4">
        <v>90</v>
      </c>
      <c r="F127" s="4">
        <v>84</v>
      </c>
      <c r="G127" s="4">
        <v>76</v>
      </c>
      <c r="H127" s="5">
        <f t="shared" si="2"/>
        <v>0.76767676767676762</v>
      </c>
      <c r="I127" s="4"/>
      <c r="K127">
        <f t="shared" si="3"/>
        <v>0.29819277108433734</v>
      </c>
    </row>
    <row r="128" spans="1:11" ht="15" customHeight="1" x14ac:dyDescent="0.25">
      <c r="A128" s="6" t="s">
        <v>36</v>
      </c>
      <c r="B128" s="7" t="s">
        <v>14</v>
      </c>
      <c r="C128" s="7">
        <v>55</v>
      </c>
      <c r="D128" s="8">
        <f>IFERROR(C128/'Owner Totals (Pivot)(Task 4)'!B22,"")</f>
        <v>0.16566265060240964</v>
      </c>
      <c r="E128" s="7">
        <v>53</v>
      </c>
      <c r="F128" s="7">
        <v>51</v>
      </c>
      <c r="G128" s="7">
        <v>50</v>
      </c>
      <c r="H128" s="8">
        <f t="shared" si="2"/>
        <v>0.90909090909090906</v>
      </c>
      <c r="I128" s="7"/>
      <c r="K128">
        <f t="shared" si="3"/>
        <v>0.29819277108433734</v>
      </c>
    </row>
    <row r="129" spans="1:11" ht="15" customHeight="1" x14ac:dyDescent="0.25">
      <c r="A129" s="3" t="s">
        <v>36</v>
      </c>
      <c r="B129" s="4" t="s">
        <v>15</v>
      </c>
      <c r="C129" s="4">
        <v>35</v>
      </c>
      <c r="D129" s="5">
        <f>IFERROR(C129/'Owner Totals (Pivot)(Task 4)'!B22,"")</f>
        <v>0.10542168674698796</v>
      </c>
      <c r="E129" s="4">
        <v>34</v>
      </c>
      <c r="F129" s="4">
        <v>33</v>
      </c>
      <c r="G129" s="4">
        <v>32</v>
      </c>
      <c r="H129" s="5">
        <f t="shared" si="2"/>
        <v>0.91428571428571426</v>
      </c>
      <c r="I129" s="4"/>
      <c r="K129">
        <f t="shared" si="3"/>
        <v>0.29819277108433734</v>
      </c>
    </row>
    <row r="130" spans="1:11" ht="15" customHeight="1" x14ac:dyDescent="0.25">
      <c r="A130" s="6" t="s">
        <v>36</v>
      </c>
      <c r="B130" s="7" t="s">
        <v>16</v>
      </c>
      <c r="C130" s="7">
        <v>19</v>
      </c>
      <c r="D130" s="8">
        <f>IFERROR(C130/'Owner Totals (Pivot)(Task 4)'!B22,"")</f>
        <v>5.7228915662650599E-2</v>
      </c>
      <c r="E130" s="7">
        <v>19</v>
      </c>
      <c r="F130" s="7">
        <v>19</v>
      </c>
      <c r="G130" s="7">
        <v>19</v>
      </c>
      <c r="H130" s="8">
        <f t="shared" si="2"/>
        <v>1</v>
      </c>
      <c r="I130" s="7"/>
      <c r="K130">
        <f t="shared" si="3"/>
        <v>0.29819277108433734</v>
      </c>
    </row>
    <row r="131" spans="1:11" ht="15" customHeight="1" x14ac:dyDescent="0.25">
      <c r="A131" s="3" t="s">
        <v>36</v>
      </c>
      <c r="B131" s="4" t="s">
        <v>17</v>
      </c>
      <c r="C131" s="4">
        <v>25</v>
      </c>
      <c r="D131" s="5">
        <f>IFERROR(C131/'Owner Totals (Pivot)(Task 4)'!B22,"")</f>
        <v>7.5301204819277115E-2</v>
      </c>
      <c r="E131" s="4">
        <v>24</v>
      </c>
      <c r="F131" s="4">
        <v>24</v>
      </c>
      <c r="G131" s="4">
        <v>24</v>
      </c>
      <c r="H131" s="5">
        <f t="shared" ref="H131:H194" si="4">IFERROR(G131/C131,"")</f>
        <v>0.96</v>
      </c>
      <c r="I131" s="4"/>
      <c r="K131">
        <f t="shared" ref="K131:K194" si="5">SUMPRODUCT(MAX(($A$4:$A$274=A131)*$D$4:$D$274))</f>
        <v>0.29819277108433734</v>
      </c>
    </row>
    <row r="132" spans="1:11" ht="15" customHeight="1" x14ac:dyDescent="0.25">
      <c r="A132" s="6" t="s">
        <v>37</v>
      </c>
      <c r="B132" s="7" t="s">
        <v>11</v>
      </c>
      <c r="C132" s="7">
        <v>23</v>
      </c>
      <c r="D132" s="8">
        <f>IFERROR(C132/'Owner Totals (Pivot)(Task 4)'!B23,"")</f>
        <v>0.19658119658119658</v>
      </c>
      <c r="E132" s="7">
        <v>18</v>
      </c>
      <c r="F132" s="7">
        <v>14</v>
      </c>
      <c r="G132" s="7">
        <v>13</v>
      </c>
      <c r="H132" s="8">
        <f t="shared" si="4"/>
        <v>0.56521739130434778</v>
      </c>
      <c r="I132" s="23" t="s">
        <v>79</v>
      </c>
      <c r="K132">
        <f t="shared" si="5"/>
        <v>0.25641025641025639</v>
      </c>
    </row>
    <row r="133" spans="1:11" ht="15" customHeight="1" x14ac:dyDescent="0.25">
      <c r="A133" s="3" t="s">
        <v>37</v>
      </c>
      <c r="B133" s="4" t="s">
        <v>12</v>
      </c>
      <c r="C133" s="4">
        <v>20</v>
      </c>
      <c r="D133" s="5">
        <f>IFERROR(C133/'Owner Totals (Pivot)(Task 4)'!B23,"")</f>
        <v>0.17094017094017094</v>
      </c>
      <c r="E133" s="4">
        <v>15</v>
      </c>
      <c r="F133" s="4">
        <v>10</v>
      </c>
      <c r="G133" s="4">
        <v>8</v>
      </c>
      <c r="H133" s="5">
        <f t="shared" si="4"/>
        <v>0.4</v>
      </c>
      <c r="I133" s="4"/>
      <c r="K133">
        <f t="shared" si="5"/>
        <v>0.25641025641025639</v>
      </c>
    </row>
    <row r="134" spans="1:11" ht="15" customHeight="1" x14ac:dyDescent="0.25">
      <c r="A134" s="6" t="s">
        <v>37</v>
      </c>
      <c r="B134" s="7" t="s">
        <v>13</v>
      </c>
      <c r="C134" s="7">
        <v>30</v>
      </c>
      <c r="D134" s="8">
        <f>IFERROR(C134/'Owner Totals (Pivot)(Task 4)'!B23,"")</f>
        <v>0.25641025641025639</v>
      </c>
      <c r="E134" s="7">
        <v>27</v>
      </c>
      <c r="F134" s="7">
        <v>22</v>
      </c>
      <c r="G134" s="7">
        <v>22</v>
      </c>
      <c r="H134" s="8">
        <f t="shared" si="4"/>
        <v>0.73333333333333328</v>
      </c>
      <c r="I134" s="7"/>
      <c r="K134">
        <f t="shared" si="5"/>
        <v>0.25641025641025639</v>
      </c>
    </row>
    <row r="135" spans="1:11" ht="15" customHeight="1" x14ac:dyDescent="0.25">
      <c r="A135" s="3" t="s">
        <v>37</v>
      </c>
      <c r="B135" s="4" t="s">
        <v>14</v>
      </c>
      <c r="C135" s="4">
        <v>18</v>
      </c>
      <c r="D135" s="5">
        <f>IFERROR(C135/'Owner Totals (Pivot)(Task 4)'!B23,"")</f>
        <v>0.15384615384615385</v>
      </c>
      <c r="E135" s="4">
        <v>14</v>
      </c>
      <c r="F135" s="4">
        <v>14</v>
      </c>
      <c r="G135" s="4">
        <v>13</v>
      </c>
      <c r="H135" s="5">
        <f t="shared" si="4"/>
        <v>0.72222222222222221</v>
      </c>
      <c r="I135" s="4"/>
      <c r="K135">
        <f t="shared" si="5"/>
        <v>0.25641025641025639</v>
      </c>
    </row>
    <row r="136" spans="1:11" ht="15" customHeight="1" x14ac:dyDescent="0.25">
      <c r="A136" s="6" t="s">
        <v>37</v>
      </c>
      <c r="B136" s="7" t="s">
        <v>15</v>
      </c>
      <c r="C136" s="7">
        <v>16</v>
      </c>
      <c r="D136" s="8">
        <f>IFERROR(C136/'Owner Totals (Pivot)(Task 4)'!B23,"")</f>
        <v>0.13675213675213677</v>
      </c>
      <c r="E136" s="7">
        <v>15</v>
      </c>
      <c r="F136" s="7">
        <v>14</v>
      </c>
      <c r="G136" s="7">
        <v>12</v>
      </c>
      <c r="H136" s="8">
        <f t="shared" si="4"/>
        <v>0.75</v>
      </c>
      <c r="I136" s="7"/>
      <c r="K136">
        <f t="shared" si="5"/>
        <v>0.25641025641025639</v>
      </c>
    </row>
    <row r="137" spans="1:11" ht="15" customHeight="1" x14ac:dyDescent="0.25">
      <c r="A137" s="3" t="s">
        <v>37</v>
      </c>
      <c r="B137" s="4" t="s">
        <v>16</v>
      </c>
      <c r="C137" s="4">
        <v>3</v>
      </c>
      <c r="D137" s="5">
        <f>IFERROR(C137/'Owner Totals (Pivot)(Task 4)'!B23,"")</f>
        <v>2.564102564102564E-2</v>
      </c>
      <c r="E137" s="4">
        <v>3</v>
      </c>
      <c r="F137" s="4">
        <v>3</v>
      </c>
      <c r="G137" s="4">
        <v>3</v>
      </c>
      <c r="H137" s="5">
        <f t="shared" si="4"/>
        <v>1</v>
      </c>
      <c r="I137" s="4"/>
      <c r="K137">
        <f t="shared" si="5"/>
        <v>0.25641025641025639</v>
      </c>
    </row>
    <row r="138" spans="1:11" ht="15" customHeight="1" x14ac:dyDescent="0.25">
      <c r="A138" s="6" t="s">
        <v>37</v>
      </c>
      <c r="B138" s="7" t="s">
        <v>17</v>
      </c>
      <c r="C138" s="7">
        <v>7</v>
      </c>
      <c r="D138" s="8">
        <f>IFERROR(C138/'Owner Totals (Pivot)(Task 4)'!B23,"")</f>
        <v>5.9829059829059832E-2</v>
      </c>
      <c r="E138" s="7">
        <v>6</v>
      </c>
      <c r="F138" s="7">
        <v>6</v>
      </c>
      <c r="G138" s="7">
        <v>6</v>
      </c>
      <c r="H138" s="8">
        <f t="shared" si="4"/>
        <v>0.8571428571428571</v>
      </c>
      <c r="I138" s="7"/>
      <c r="K138">
        <f t="shared" si="5"/>
        <v>0.25641025641025639</v>
      </c>
    </row>
    <row r="139" spans="1:11" ht="15" customHeight="1" x14ac:dyDescent="0.25">
      <c r="A139" s="3" t="s">
        <v>38</v>
      </c>
      <c r="B139" s="4" t="s">
        <v>11</v>
      </c>
      <c r="C139" s="4">
        <v>31</v>
      </c>
      <c r="D139" s="5">
        <f>IFERROR(C139/'Owner Totals (Pivot)(Task 4)'!B24,"")</f>
        <v>0.15816326530612246</v>
      </c>
      <c r="E139" s="4">
        <v>28</v>
      </c>
      <c r="F139" s="4">
        <v>25</v>
      </c>
      <c r="G139" s="4">
        <v>24</v>
      </c>
      <c r="H139" s="5">
        <f t="shared" si="4"/>
        <v>0.77419354838709675</v>
      </c>
      <c r="I139" s="23" t="s">
        <v>79</v>
      </c>
      <c r="K139">
        <f t="shared" si="5"/>
        <v>0.36224489795918369</v>
      </c>
    </row>
    <row r="140" spans="1:11" ht="15" customHeight="1" x14ac:dyDescent="0.25">
      <c r="A140" s="6" t="s">
        <v>38</v>
      </c>
      <c r="B140" s="7" t="s">
        <v>12</v>
      </c>
      <c r="C140" s="7">
        <v>23</v>
      </c>
      <c r="D140" s="8">
        <f>IFERROR(C140/'Owner Totals (Pivot)(Task 4)'!B24,"")</f>
        <v>0.11734693877551021</v>
      </c>
      <c r="E140" s="7">
        <v>20</v>
      </c>
      <c r="F140" s="7">
        <v>18</v>
      </c>
      <c r="G140" s="7">
        <v>15</v>
      </c>
      <c r="H140" s="8">
        <f t="shared" si="4"/>
        <v>0.65217391304347827</v>
      </c>
      <c r="I140" s="7"/>
      <c r="K140">
        <f t="shared" si="5"/>
        <v>0.36224489795918369</v>
      </c>
    </row>
    <row r="141" spans="1:11" ht="15" customHeight="1" x14ac:dyDescent="0.25">
      <c r="A141" s="3" t="s">
        <v>38</v>
      </c>
      <c r="B141" s="4" t="s">
        <v>13</v>
      </c>
      <c r="C141" s="4">
        <v>71</v>
      </c>
      <c r="D141" s="5">
        <f>IFERROR(C141/'Owner Totals (Pivot)(Task 4)'!B24,"")</f>
        <v>0.36224489795918369</v>
      </c>
      <c r="E141" s="4">
        <v>63</v>
      </c>
      <c r="F141" s="4">
        <v>59</v>
      </c>
      <c r="G141" s="4">
        <v>55</v>
      </c>
      <c r="H141" s="5">
        <f t="shared" si="4"/>
        <v>0.77464788732394363</v>
      </c>
      <c r="I141" s="4"/>
      <c r="K141">
        <f t="shared" si="5"/>
        <v>0.36224489795918369</v>
      </c>
    </row>
    <row r="142" spans="1:11" ht="15" customHeight="1" x14ac:dyDescent="0.25">
      <c r="A142" s="6" t="s">
        <v>38</v>
      </c>
      <c r="B142" s="7" t="s">
        <v>14</v>
      </c>
      <c r="C142" s="7">
        <v>35</v>
      </c>
      <c r="D142" s="8">
        <f>IFERROR(C142/'Owner Totals (Pivot)(Task 4)'!B24,"")</f>
        <v>0.17857142857142858</v>
      </c>
      <c r="E142" s="7">
        <v>35</v>
      </c>
      <c r="F142" s="7">
        <v>30</v>
      </c>
      <c r="G142" s="7">
        <v>31</v>
      </c>
      <c r="H142" s="8">
        <f t="shared" si="4"/>
        <v>0.88571428571428568</v>
      </c>
      <c r="I142" s="7"/>
      <c r="K142">
        <f t="shared" si="5"/>
        <v>0.36224489795918369</v>
      </c>
    </row>
    <row r="143" spans="1:11" ht="15" customHeight="1" x14ac:dyDescent="0.25">
      <c r="A143" s="3" t="s">
        <v>38</v>
      </c>
      <c r="B143" s="4" t="s">
        <v>15</v>
      </c>
      <c r="C143" s="4">
        <v>13</v>
      </c>
      <c r="D143" s="5">
        <f>IFERROR(C143/'Owner Totals (Pivot)(Task 4)'!B24,"")</f>
        <v>6.6326530612244902E-2</v>
      </c>
      <c r="E143" s="4">
        <v>13</v>
      </c>
      <c r="F143" s="4">
        <v>12</v>
      </c>
      <c r="G143" s="4">
        <v>12</v>
      </c>
      <c r="H143" s="5">
        <f t="shared" si="4"/>
        <v>0.92307692307692313</v>
      </c>
      <c r="I143" s="4"/>
      <c r="K143">
        <f t="shared" si="5"/>
        <v>0.36224489795918369</v>
      </c>
    </row>
    <row r="144" spans="1:11" ht="15" customHeight="1" x14ac:dyDescent="0.25">
      <c r="A144" s="6" t="s">
        <v>38</v>
      </c>
      <c r="B144" s="7" t="s">
        <v>16</v>
      </c>
      <c r="C144" s="7">
        <v>14</v>
      </c>
      <c r="D144" s="8">
        <f>IFERROR(C144/'Owner Totals (Pivot)(Task 4)'!B24,"")</f>
        <v>7.1428571428571425E-2</v>
      </c>
      <c r="E144" s="7">
        <v>14</v>
      </c>
      <c r="F144" s="7">
        <v>14</v>
      </c>
      <c r="G144" s="7">
        <v>12</v>
      </c>
      <c r="H144" s="8">
        <f t="shared" si="4"/>
        <v>0.8571428571428571</v>
      </c>
      <c r="I144" s="7"/>
      <c r="K144">
        <f t="shared" si="5"/>
        <v>0.36224489795918369</v>
      </c>
    </row>
    <row r="145" spans="1:11" ht="15" customHeight="1" x14ac:dyDescent="0.25">
      <c r="A145" s="3" t="s">
        <v>38</v>
      </c>
      <c r="B145" s="4" t="s">
        <v>17</v>
      </c>
      <c r="C145" s="4">
        <v>9</v>
      </c>
      <c r="D145" s="5">
        <f>IFERROR(C145/'Owner Totals (Pivot)(Task 4)'!B24,"")</f>
        <v>4.5918367346938778E-2</v>
      </c>
      <c r="E145" s="4">
        <v>9</v>
      </c>
      <c r="F145" s="4">
        <v>9</v>
      </c>
      <c r="G145" s="4">
        <v>8</v>
      </c>
      <c r="H145" s="5">
        <f t="shared" si="4"/>
        <v>0.88888888888888884</v>
      </c>
      <c r="I145" s="4"/>
      <c r="K145">
        <f t="shared" si="5"/>
        <v>0.36224489795918369</v>
      </c>
    </row>
    <row r="146" spans="1:11" ht="15" customHeight="1" x14ac:dyDescent="0.25">
      <c r="A146" s="6" t="s">
        <v>39</v>
      </c>
      <c r="B146" s="7" t="s">
        <v>11</v>
      </c>
      <c r="C146" s="7">
        <v>57</v>
      </c>
      <c r="D146" s="8">
        <f>IFERROR(C146/'Owner Totals (Pivot)(Task 4)'!B25,"")</f>
        <v>0.23553719008264462</v>
      </c>
      <c r="E146" s="7">
        <v>52</v>
      </c>
      <c r="F146" s="7">
        <v>42</v>
      </c>
      <c r="G146" s="7">
        <v>39</v>
      </c>
      <c r="H146" s="8">
        <f t="shared" si="4"/>
        <v>0.68421052631578949</v>
      </c>
      <c r="I146" s="23" t="s">
        <v>79</v>
      </c>
      <c r="K146">
        <f t="shared" si="5"/>
        <v>0.27272727272727271</v>
      </c>
    </row>
    <row r="147" spans="1:11" ht="15" customHeight="1" x14ac:dyDescent="0.25">
      <c r="A147" s="3" t="s">
        <v>39</v>
      </c>
      <c r="B147" s="4" t="s">
        <v>12</v>
      </c>
      <c r="C147" s="4">
        <v>42</v>
      </c>
      <c r="D147" s="5">
        <f>IFERROR(C147/'Owner Totals (Pivot)(Task 4)'!B25,"")</f>
        <v>0.17355371900826447</v>
      </c>
      <c r="E147" s="4">
        <v>40</v>
      </c>
      <c r="F147" s="4">
        <v>38</v>
      </c>
      <c r="G147" s="4">
        <v>32</v>
      </c>
      <c r="H147" s="5">
        <f t="shared" si="4"/>
        <v>0.76190476190476186</v>
      </c>
      <c r="I147" s="4"/>
      <c r="K147">
        <f t="shared" si="5"/>
        <v>0.27272727272727271</v>
      </c>
    </row>
    <row r="148" spans="1:11" ht="15" customHeight="1" x14ac:dyDescent="0.25">
      <c r="A148" s="6" t="s">
        <v>39</v>
      </c>
      <c r="B148" s="7" t="s">
        <v>13</v>
      </c>
      <c r="C148" s="7">
        <v>66</v>
      </c>
      <c r="D148" s="8">
        <f>IFERROR(C148/'Owner Totals (Pivot)(Task 4)'!B25,"")</f>
        <v>0.27272727272727271</v>
      </c>
      <c r="E148" s="7">
        <v>63</v>
      </c>
      <c r="F148" s="7">
        <v>58</v>
      </c>
      <c r="G148" s="7">
        <v>51</v>
      </c>
      <c r="H148" s="8">
        <f t="shared" si="4"/>
        <v>0.77272727272727271</v>
      </c>
      <c r="I148" s="7"/>
      <c r="K148">
        <f t="shared" si="5"/>
        <v>0.27272727272727271</v>
      </c>
    </row>
    <row r="149" spans="1:11" ht="15" customHeight="1" x14ac:dyDescent="0.25">
      <c r="A149" s="3" t="s">
        <v>39</v>
      </c>
      <c r="B149" s="4" t="s">
        <v>14</v>
      </c>
      <c r="C149" s="4">
        <v>39</v>
      </c>
      <c r="D149" s="5">
        <f>IFERROR(C149/'Owner Totals (Pivot)(Task 4)'!B25,"")</f>
        <v>0.16115702479338842</v>
      </c>
      <c r="E149" s="4">
        <v>35</v>
      </c>
      <c r="F149" s="4">
        <v>29</v>
      </c>
      <c r="G149" s="4">
        <v>30</v>
      </c>
      <c r="H149" s="5">
        <f t="shared" si="4"/>
        <v>0.76923076923076927</v>
      </c>
      <c r="I149" s="4"/>
      <c r="K149">
        <f t="shared" si="5"/>
        <v>0.27272727272727271</v>
      </c>
    </row>
    <row r="150" spans="1:11" ht="15" customHeight="1" x14ac:dyDescent="0.25">
      <c r="A150" s="22" t="s">
        <v>39</v>
      </c>
      <c r="B150" s="7" t="s">
        <v>15</v>
      </c>
      <c r="C150" s="7">
        <v>18</v>
      </c>
      <c r="D150" s="8">
        <f>IFERROR(C150/'Owner Totals (Pivot)(Task 4)'!B25,"")</f>
        <v>7.43801652892562E-2</v>
      </c>
      <c r="E150" s="7">
        <v>16</v>
      </c>
      <c r="F150" s="7">
        <v>14</v>
      </c>
      <c r="G150" s="7">
        <v>13</v>
      </c>
      <c r="H150" s="8">
        <f t="shared" si="4"/>
        <v>0.72222222222222221</v>
      </c>
      <c r="I150" s="7"/>
      <c r="K150">
        <f t="shared" si="5"/>
        <v>0.27272727272727271</v>
      </c>
    </row>
    <row r="151" spans="1:11" ht="15" customHeight="1" x14ac:dyDescent="0.25">
      <c r="A151" s="3" t="s">
        <v>39</v>
      </c>
      <c r="B151" s="4" t="s">
        <v>16</v>
      </c>
      <c r="C151" s="4">
        <v>11</v>
      </c>
      <c r="D151" s="5">
        <f>IFERROR(C151/'Owner Totals (Pivot)(Task 4)'!B25,"")</f>
        <v>4.5454545454545456E-2</v>
      </c>
      <c r="E151" s="4">
        <v>10</v>
      </c>
      <c r="F151" s="4">
        <v>7</v>
      </c>
      <c r="G151" s="4">
        <v>6</v>
      </c>
      <c r="H151" s="5">
        <f t="shared" si="4"/>
        <v>0.54545454545454541</v>
      </c>
      <c r="I151" s="4"/>
      <c r="K151">
        <f t="shared" si="5"/>
        <v>0.27272727272727271</v>
      </c>
    </row>
    <row r="152" spans="1:11" ht="15" customHeight="1" x14ac:dyDescent="0.25">
      <c r="A152" s="6" t="s">
        <v>39</v>
      </c>
      <c r="B152" s="7" t="s">
        <v>17</v>
      </c>
      <c r="C152" s="7">
        <v>9</v>
      </c>
      <c r="D152" s="8">
        <f>IFERROR(C152/'Owner Totals (Pivot)(Task 4)'!B25,"")</f>
        <v>3.71900826446281E-2</v>
      </c>
      <c r="E152" s="7">
        <v>9</v>
      </c>
      <c r="F152" s="7">
        <v>9</v>
      </c>
      <c r="G152" s="7">
        <v>8</v>
      </c>
      <c r="H152" s="8">
        <f t="shared" si="4"/>
        <v>0.88888888888888884</v>
      </c>
      <c r="I152" s="7"/>
      <c r="K152">
        <f t="shared" si="5"/>
        <v>0.27272727272727271</v>
      </c>
    </row>
    <row r="153" spans="1:11" ht="15" customHeight="1" x14ac:dyDescent="0.25">
      <c r="A153" s="3" t="s">
        <v>40</v>
      </c>
      <c r="B153" s="4" t="s">
        <v>11</v>
      </c>
      <c r="C153" s="4">
        <v>7</v>
      </c>
      <c r="D153" s="5">
        <f>IFERROR(C153/'Owner Totals (Pivot)(Task 4)'!B26,"")</f>
        <v>7.6086956521739135E-2</v>
      </c>
      <c r="E153" s="4">
        <v>5</v>
      </c>
      <c r="F153" s="4">
        <v>4</v>
      </c>
      <c r="G153" s="4">
        <v>4</v>
      </c>
      <c r="H153" s="5">
        <f t="shared" si="4"/>
        <v>0.5714285714285714</v>
      </c>
      <c r="I153" s="23" t="s">
        <v>79</v>
      </c>
      <c r="K153">
        <f t="shared" si="5"/>
        <v>0.36956521739130432</v>
      </c>
    </row>
    <row r="154" spans="1:11" ht="15" customHeight="1" x14ac:dyDescent="0.25">
      <c r="A154" s="6" t="s">
        <v>40</v>
      </c>
      <c r="B154" s="7" t="s">
        <v>12</v>
      </c>
      <c r="C154" s="7">
        <v>12</v>
      </c>
      <c r="D154" s="8">
        <f>IFERROR(C154/'Owner Totals (Pivot)(Task 4)'!B26,"")</f>
        <v>0.13043478260869565</v>
      </c>
      <c r="E154" s="7">
        <v>11</v>
      </c>
      <c r="F154" s="7">
        <v>8</v>
      </c>
      <c r="G154" s="7">
        <v>7</v>
      </c>
      <c r="H154" s="8">
        <f t="shared" si="4"/>
        <v>0.58333333333333337</v>
      </c>
      <c r="I154" s="7"/>
      <c r="K154">
        <f t="shared" si="5"/>
        <v>0.36956521739130432</v>
      </c>
    </row>
    <row r="155" spans="1:11" ht="15" customHeight="1" x14ac:dyDescent="0.25">
      <c r="A155" s="3" t="s">
        <v>40</v>
      </c>
      <c r="B155" s="4" t="s">
        <v>13</v>
      </c>
      <c r="C155" s="4">
        <v>34</v>
      </c>
      <c r="D155" s="5">
        <f>IFERROR(C155/'Owner Totals (Pivot)(Task 4)'!B26,"")</f>
        <v>0.36956521739130432</v>
      </c>
      <c r="E155" s="4">
        <v>33</v>
      </c>
      <c r="F155" s="4">
        <v>30</v>
      </c>
      <c r="G155" s="4">
        <v>28</v>
      </c>
      <c r="H155" s="5">
        <f t="shared" si="4"/>
        <v>0.82352941176470584</v>
      </c>
      <c r="I155" s="4"/>
      <c r="K155">
        <f t="shared" si="5"/>
        <v>0.36956521739130432</v>
      </c>
    </row>
    <row r="156" spans="1:11" ht="15" customHeight="1" x14ac:dyDescent="0.25">
      <c r="A156" s="6" t="s">
        <v>40</v>
      </c>
      <c r="B156" s="7" t="s">
        <v>14</v>
      </c>
      <c r="C156" s="7">
        <v>15</v>
      </c>
      <c r="D156" s="8">
        <f>IFERROR(C156/'Owner Totals (Pivot)(Task 4)'!B26,"")</f>
        <v>0.16304347826086957</v>
      </c>
      <c r="E156" s="7">
        <v>12</v>
      </c>
      <c r="F156" s="7">
        <v>12</v>
      </c>
      <c r="G156" s="7">
        <v>12</v>
      </c>
      <c r="H156" s="8">
        <f t="shared" si="4"/>
        <v>0.8</v>
      </c>
      <c r="I156" s="7"/>
      <c r="K156">
        <f t="shared" si="5"/>
        <v>0.36956521739130432</v>
      </c>
    </row>
    <row r="157" spans="1:11" ht="15" customHeight="1" x14ac:dyDescent="0.25">
      <c r="A157" s="3" t="s">
        <v>40</v>
      </c>
      <c r="B157" s="4" t="s">
        <v>15</v>
      </c>
      <c r="C157" s="4">
        <v>15</v>
      </c>
      <c r="D157" s="5">
        <f>IFERROR(C157/'Owner Totals (Pivot)(Task 4)'!B26,"")</f>
        <v>0.16304347826086957</v>
      </c>
      <c r="E157" s="4">
        <v>14</v>
      </c>
      <c r="F157" s="4">
        <v>14</v>
      </c>
      <c r="G157" s="4">
        <v>13</v>
      </c>
      <c r="H157" s="5">
        <f t="shared" si="4"/>
        <v>0.8666666666666667</v>
      </c>
      <c r="I157" s="4"/>
      <c r="K157">
        <f t="shared" si="5"/>
        <v>0.36956521739130432</v>
      </c>
    </row>
    <row r="158" spans="1:11" ht="15" customHeight="1" x14ac:dyDescent="0.25">
      <c r="A158" s="6" t="s">
        <v>40</v>
      </c>
      <c r="B158" s="7" t="s">
        <v>16</v>
      </c>
      <c r="C158" s="7">
        <v>2</v>
      </c>
      <c r="D158" s="8">
        <f>IFERROR(C158/'Owner Totals (Pivot)(Task 4)'!B26,"")</f>
        <v>2.1739130434782608E-2</v>
      </c>
      <c r="E158" s="7">
        <v>2</v>
      </c>
      <c r="F158" s="7">
        <v>2</v>
      </c>
      <c r="G158" s="7">
        <v>2</v>
      </c>
      <c r="H158" s="8">
        <f t="shared" si="4"/>
        <v>1</v>
      </c>
      <c r="I158" s="7"/>
      <c r="K158">
        <f t="shared" si="5"/>
        <v>0.36956521739130432</v>
      </c>
    </row>
    <row r="159" spans="1:11" ht="15" customHeight="1" x14ac:dyDescent="0.25">
      <c r="A159" s="3" t="s">
        <v>40</v>
      </c>
      <c r="B159" s="4" t="s">
        <v>17</v>
      </c>
      <c r="C159" s="4">
        <v>7</v>
      </c>
      <c r="D159" s="5">
        <f>IFERROR(C159/'Owner Totals (Pivot)(Task 4)'!B26,"")</f>
        <v>7.6086956521739135E-2</v>
      </c>
      <c r="E159" s="4">
        <v>6</v>
      </c>
      <c r="F159" s="4">
        <v>6</v>
      </c>
      <c r="G159" s="4">
        <v>6</v>
      </c>
      <c r="H159" s="5">
        <f t="shared" si="4"/>
        <v>0.8571428571428571</v>
      </c>
      <c r="I159" s="4"/>
      <c r="K159">
        <f t="shared" si="5"/>
        <v>0.36956521739130432</v>
      </c>
    </row>
    <row r="160" spans="1:11" ht="15" customHeight="1" x14ac:dyDescent="0.25">
      <c r="A160" s="6" t="s">
        <v>41</v>
      </c>
      <c r="B160" s="7" t="s">
        <v>11</v>
      </c>
      <c r="C160" s="7">
        <v>103</v>
      </c>
      <c r="D160" s="8">
        <f>IFERROR(C160/'Owner Totals (Pivot)(Task 4)'!B27,"")</f>
        <v>0.25245098039215685</v>
      </c>
      <c r="E160" s="7">
        <v>74</v>
      </c>
      <c r="F160" s="7">
        <v>54</v>
      </c>
      <c r="G160" s="7">
        <v>51</v>
      </c>
      <c r="H160" s="8">
        <f t="shared" si="4"/>
        <v>0.49514563106796117</v>
      </c>
      <c r="I160" s="23" t="s">
        <v>79</v>
      </c>
      <c r="K160">
        <f t="shared" si="5"/>
        <v>0.30392156862745096</v>
      </c>
    </row>
    <row r="161" spans="1:11" ht="15" customHeight="1" x14ac:dyDescent="0.25">
      <c r="A161" s="3" t="s">
        <v>41</v>
      </c>
      <c r="B161" s="4" t="s">
        <v>12</v>
      </c>
      <c r="C161" s="4">
        <v>74</v>
      </c>
      <c r="D161" s="5">
        <f>IFERROR(C161/'Owner Totals (Pivot)(Task 4)'!B27,"")</f>
        <v>0.18137254901960784</v>
      </c>
      <c r="E161" s="4">
        <v>61</v>
      </c>
      <c r="F161" s="4">
        <v>47</v>
      </c>
      <c r="G161" s="4">
        <v>40</v>
      </c>
      <c r="H161" s="5">
        <f t="shared" si="4"/>
        <v>0.54054054054054057</v>
      </c>
      <c r="I161" s="4"/>
      <c r="K161">
        <f t="shared" si="5"/>
        <v>0.30392156862745096</v>
      </c>
    </row>
    <row r="162" spans="1:11" ht="15" customHeight="1" x14ac:dyDescent="0.25">
      <c r="A162" s="6" t="s">
        <v>41</v>
      </c>
      <c r="B162" s="7" t="s">
        <v>13</v>
      </c>
      <c r="C162" s="7">
        <v>124</v>
      </c>
      <c r="D162" s="8">
        <f>IFERROR(C162/'Owner Totals (Pivot)(Task 4)'!B27,"")</f>
        <v>0.30392156862745096</v>
      </c>
      <c r="E162" s="7">
        <v>102</v>
      </c>
      <c r="F162" s="7">
        <v>89</v>
      </c>
      <c r="G162" s="7">
        <v>82</v>
      </c>
      <c r="H162" s="8">
        <f t="shared" si="4"/>
        <v>0.66129032258064513</v>
      </c>
      <c r="I162" s="7"/>
      <c r="K162">
        <f t="shared" si="5"/>
        <v>0.30392156862745096</v>
      </c>
    </row>
    <row r="163" spans="1:11" ht="15" customHeight="1" x14ac:dyDescent="0.25">
      <c r="A163" s="3" t="s">
        <v>41</v>
      </c>
      <c r="B163" s="4" t="s">
        <v>14</v>
      </c>
      <c r="C163" s="4">
        <v>65</v>
      </c>
      <c r="D163" s="5">
        <f>IFERROR(C163/'Owner Totals (Pivot)(Task 4)'!B27,"")</f>
        <v>0.15931372549019607</v>
      </c>
      <c r="E163" s="4">
        <v>63</v>
      </c>
      <c r="F163" s="4">
        <v>51</v>
      </c>
      <c r="G163" s="4">
        <v>48</v>
      </c>
      <c r="H163" s="5">
        <f t="shared" si="4"/>
        <v>0.7384615384615385</v>
      </c>
      <c r="I163" s="4"/>
      <c r="K163">
        <f t="shared" si="5"/>
        <v>0.30392156862745096</v>
      </c>
    </row>
    <row r="164" spans="1:11" ht="15" customHeight="1" x14ac:dyDescent="0.25">
      <c r="A164" s="6" t="s">
        <v>41</v>
      </c>
      <c r="B164" s="7" t="s">
        <v>15</v>
      </c>
      <c r="C164" s="7">
        <v>31</v>
      </c>
      <c r="D164" s="8">
        <f>IFERROR(C164/'Owner Totals (Pivot)(Task 4)'!B27,"")</f>
        <v>7.5980392156862739E-2</v>
      </c>
      <c r="E164" s="7">
        <v>24</v>
      </c>
      <c r="F164" s="7">
        <v>24</v>
      </c>
      <c r="G164" s="7">
        <v>23</v>
      </c>
      <c r="H164" s="8">
        <f t="shared" si="4"/>
        <v>0.74193548387096775</v>
      </c>
      <c r="I164" s="7"/>
      <c r="K164">
        <f t="shared" si="5"/>
        <v>0.30392156862745096</v>
      </c>
    </row>
    <row r="165" spans="1:11" ht="15" customHeight="1" x14ac:dyDescent="0.25">
      <c r="A165" s="3" t="s">
        <v>41</v>
      </c>
      <c r="B165" s="4" t="s">
        <v>16</v>
      </c>
      <c r="C165" s="4">
        <v>4</v>
      </c>
      <c r="D165" s="5">
        <f>IFERROR(C165/'Owner Totals (Pivot)(Task 4)'!B27,"")</f>
        <v>9.8039215686274508E-3</v>
      </c>
      <c r="E165" s="4">
        <v>3</v>
      </c>
      <c r="F165" s="4">
        <v>3</v>
      </c>
      <c r="G165" s="4">
        <v>3</v>
      </c>
      <c r="H165" s="5">
        <f t="shared" si="4"/>
        <v>0.75</v>
      </c>
      <c r="I165" s="4"/>
      <c r="K165">
        <f t="shared" si="5"/>
        <v>0.30392156862745096</v>
      </c>
    </row>
    <row r="166" spans="1:11" ht="15" customHeight="1" x14ac:dyDescent="0.25">
      <c r="A166" s="6" t="s">
        <v>41</v>
      </c>
      <c r="B166" s="7" t="s">
        <v>17</v>
      </c>
      <c r="C166" s="7">
        <v>7</v>
      </c>
      <c r="D166" s="8">
        <f>IFERROR(C166/'Owner Totals (Pivot)(Task 4)'!B27,"")</f>
        <v>1.7156862745098041E-2</v>
      </c>
      <c r="E166" s="7">
        <v>3</v>
      </c>
      <c r="F166" s="7">
        <v>2</v>
      </c>
      <c r="G166" s="7">
        <v>2</v>
      </c>
      <c r="H166" s="8">
        <f t="shared" si="4"/>
        <v>0.2857142857142857</v>
      </c>
      <c r="I166" s="7"/>
      <c r="K166">
        <f t="shared" si="5"/>
        <v>0.30392156862745096</v>
      </c>
    </row>
    <row r="167" spans="1:11" ht="15" customHeight="1" x14ac:dyDescent="0.25">
      <c r="A167" s="3" t="s">
        <v>42</v>
      </c>
      <c r="B167" s="4" t="s">
        <v>11</v>
      </c>
      <c r="C167" s="4">
        <v>29</v>
      </c>
      <c r="D167" s="5">
        <f>IFERROR(C167/'Owner Totals (Pivot)(Task 4)'!B28,"")</f>
        <v>0.10740740740740741</v>
      </c>
      <c r="E167" s="4">
        <v>27</v>
      </c>
      <c r="F167" s="4">
        <v>23</v>
      </c>
      <c r="G167" s="4">
        <v>20</v>
      </c>
      <c r="H167" s="5">
        <f t="shared" si="4"/>
        <v>0.68965517241379315</v>
      </c>
      <c r="I167" s="23" t="s">
        <v>79</v>
      </c>
      <c r="K167">
        <f t="shared" si="5"/>
        <v>0.2814814814814815</v>
      </c>
    </row>
    <row r="168" spans="1:11" ht="15" customHeight="1" x14ac:dyDescent="0.25">
      <c r="A168" s="6" t="s">
        <v>42</v>
      </c>
      <c r="B168" s="7" t="s">
        <v>12</v>
      </c>
      <c r="C168" s="7">
        <v>32</v>
      </c>
      <c r="D168" s="8">
        <f>IFERROR(C168/'Owner Totals (Pivot)(Task 4)'!B28,"")</f>
        <v>0.11851851851851852</v>
      </c>
      <c r="E168" s="7">
        <v>30</v>
      </c>
      <c r="F168" s="7">
        <v>27</v>
      </c>
      <c r="G168" s="7">
        <v>20</v>
      </c>
      <c r="H168" s="8">
        <f t="shared" si="4"/>
        <v>0.625</v>
      </c>
      <c r="I168" s="7"/>
      <c r="K168">
        <f t="shared" si="5"/>
        <v>0.2814814814814815</v>
      </c>
    </row>
    <row r="169" spans="1:11" ht="15" customHeight="1" x14ac:dyDescent="0.25">
      <c r="A169" s="3" t="s">
        <v>42</v>
      </c>
      <c r="B169" s="4" t="s">
        <v>13</v>
      </c>
      <c r="C169" s="4">
        <v>76</v>
      </c>
      <c r="D169" s="5">
        <f>IFERROR(C169/'Owner Totals (Pivot)(Task 4)'!B28,"")</f>
        <v>0.2814814814814815</v>
      </c>
      <c r="E169" s="4">
        <v>73</v>
      </c>
      <c r="F169" s="4">
        <v>66</v>
      </c>
      <c r="G169" s="4">
        <v>65</v>
      </c>
      <c r="H169" s="5">
        <f t="shared" si="4"/>
        <v>0.85526315789473684</v>
      </c>
      <c r="I169" s="4"/>
      <c r="K169">
        <f t="shared" si="5"/>
        <v>0.2814814814814815</v>
      </c>
    </row>
    <row r="170" spans="1:11" ht="15" customHeight="1" x14ac:dyDescent="0.25">
      <c r="A170" s="6" t="s">
        <v>42</v>
      </c>
      <c r="B170" s="7" t="s">
        <v>14</v>
      </c>
      <c r="C170" s="7">
        <v>50</v>
      </c>
      <c r="D170" s="8">
        <f>IFERROR(C170/'Owner Totals (Pivot)(Task 4)'!B28,"")</f>
        <v>0.18518518518518517</v>
      </c>
      <c r="E170" s="7">
        <v>49</v>
      </c>
      <c r="F170" s="7">
        <v>46</v>
      </c>
      <c r="G170" s="7">
        <v>45</v>
      </c>
      <c r="H170" s="8">
        <f t="shared" si="4"/>
        <v>0.9</v>
      </c>
      <c r="I170" s="7"/>
      <c r="K170">
        <f t="shared" si="5"/>
        <v>0.2814814814814815</v>
      </c>
    </row>
    <row r="171" spans="1:11" ht="15" customHeight="1" x14ac:dyDescent="0.25">
      <c r="A171" s="3" t="s">
        <v>42</v>
      </c>
      <c r="B171" s="4" t="s">
        <v>15</v>
      </c>
      <c r="C171" s="4">
        <v>42</v>
      </c>
      <c r="D171" s="5">
        <f>IFERROR(C171/'Owner Totals (Pivot)(Task 4)'!B28,"")</f>
        <v>0.15555555555555556</v>
      </c>
      <c r="E171" s="4">
        <v>41</v>
      </c>
      <c r="F171" s="4">
        <v>41</v>
      </c>
      <c r="G171" s="4">
        <v>40</v>
      </c>
      <c r="H171" s="5">
        <f t="shared" si="4"/>
        <v>0.95238095238095233</v>
      </c>
      <c r="I171" s="4"/>
      <c r="K171">
        <f t="shared" si="5"/>
        <v>0.2814814814814815</v>
      </c>
    </row>
    <row r="172" spans="1:11" ht="15" customHeight="1" x14ac:dyDescent="0.25">
      <c r="A172" s="6" t="s">
        <v>42</v>
      </c>
      <c r="B172" s="7" t="s">
        <v>16</v>
      </c>
      <c r="C172" s="7">
        <v>19</v>
      </c>
      <c r="D172" s="8">
        <f>IFERROR(C172/'Owner Totals (Pivot)(Task 4)'!B28,"")</f>
        <v>7.0370370370370375E-2</v>
      </c>
      <c r="E172" s="7">
        <v>19</v>
      </c>
      <c r="F172" s="7">
        <v>19</v>
      </c>
      <c r="G172" s="7">
        <v>19</v>
      </c>
      <c r="H172" s="8">
        <f t="shared" si="4"/>
        <v>1</v>
      </c>
      <c r="I172" s="7"/>
      <c r="K172">
        <f t="shared" si="5"/>
        <v>0.2814814814814815</v>
      </c>
    </row>
    <row r="173" spans="1:11" ht="15" customHeight="1" x14ac:dyDescent="0.25">
      <c r="A173" s="3" t="s">
        <v>42</v>
      </c>
      <c r="B173" s="4" t="s">
        <v>17</v>
      </c>
      <c r="C173" s="4">
        <v>22</v>
      </c>
      <c r="D173" s="5">
        <f>IFERROR(C173/'Owner Totals (Pivot)(Task 4)'!B28,"")</f>
        <v>8.1481481481481488E-2</v>
      </c>
      <c r="E173" s="4">
        <v>22</v>
      </c>
      <c r="F173" s="4">
        <v>21</v>
      </c>
      <c r="G173" s="4">
        <v>22</v>
      </c>
      <c r="H173" s="5">
        <f t="shared" si="4"/>
        <v>1</v>
      </c>
      <c r="I173" s="4"/>
      <c r="K173">
        <f t="shared" si="5"/>
        <v>0.2814814814814815</v>
      </c>
    </row>
    <row r="174" spans="1:11" ht="15" customHeight="1" x14ac:dyDescent="0.25">
      <c r="A174" s="6" t="s">
        <v>43</v>
      </c>
      <c r="B174" s="7" t="s">
        <v>11</v>
      </c>
      <c r="C174" s="7">
        <v>67</v>
      </c>
      <c r="D174" s="8">
        <f>IFERROR(C174/'Owner Totals (Pivot)(Task 4)'!B29,"")</f>
        <v>0.17493472584856398</v>
      </c>
      <c r="E174" s="7">
        <v>54</v>
      </c>
      <c r="F174" s="7">
        <v>46</v>
      </c>
      <c r="G174" s="7">
        <v>41</v>
      </c>
      <c r="H174" s="8">
        <f t="shared" si="4"/>
        <v>0.61194029850746268</v>
      </c>
      <c r="I174" s="23" t="s">
        <v>79</v>
      </c>
      <c r="K174">
        <f t="shared" si="5"/>
        <v>0.3838120104438642</v>
      </c>
    </row>
    <row r="175" spans="1:11" ht="15" customHeight="1" x14ac:dyDescent="0.25">
      <c r="A175" s="3" t="s">
        <v>43</v>
      </c>
      <c r="B175" s="4" t="s">
        <v>12</v>
      </c>
      <c r="C175" s="4">
        <v>43</v>
      </c>
      <c r="D175" s="5">
        <f>IFERROR(C175/'Owner Totals (Pivot)(Task 4)'!B29,"")</f>
        <v>0.1122715404699739</v>
      </c>
      <c r="E175" s="4">
        <v>36</v>
      </c>
      <c r="F175" s="4">
        <v>29</v>
      </c>
      <c r="G175" s="4">
        <v>23</v>
      </c>
      <c r="H175" s="5">
        <f t="shared" si="4"/>
        <v>0.53488372093023251</v>
      </c>
      <c r="I175" s="4"/>
      <c r="K175">
        <f t="shared" si="5"/>
        <v>0.3838120104438642</v>
      </c>
    </row>
    <row r="176" spans="1:11" ht="15" customHeight="1" x14ac:dyDescent="0.25">
      <c r="A176" s="6" t="s">
        <v>43</v>
      </c>
      <c r="B176" s="7" t="s">
        <v>13</v>
      </c>
      <c r="C176" s="7">
        <v>147</v>
      </c>
      <c r="D176" s="8">
        <f>IFERROR(C176/'Owner Totals (Pivot)(Task 4)'!B29,"")</f>
        <v>0.3838120104438642</v>
      </c>
      <c r="E176" s="7">
        <v>130</v>
      </c>
      <c r="F176" s="7">
        <v>104</v>
      </c>
      <c r="G176" s="7">
        <v>89</v>
      </c>
      <c r="H176" s="8">
        <f t="shared" si="4"/>
        <v>0.60544217687074831</v>
      </c>
      <c r="I176" s="7"/>
      <c r="K176">
        <f t="shared" si="5"/>
        <v>0.3838120104438642</v>
      </c>
    </row>
    <row r="177" spans="1:11" ht="15" customHeight="1" x14ac:dyDescent="0.25">
      <c r="A177" s="3" t="s">
        <v>43</v>
      </c>
      <c r="B177" s="4" t="s">
        <v>14</v>
      </c>
      <c r="C177" s="4">
        <v>82</v>
      </c>
      <c r="D177" s="5">
        <f>IFERROR(C177/'Owner Totals (Pivot)(Task 4)'!B29,"")</f>
        <v>0.21409921671018275</v>
      </c>
      <c r="E177" s="4">
        <v>75</v>
      </c>
      <c r="F177" s="4">
        <v>67</v>
      </c>
      <c r="G177" s="4">
        <v>62</v>
      </c>
      <c r="H177" s="5">
        <f t="shared" si="4"/>
        <v>0.75609756097560976</v>
      </c>
      <c r="I177" s="4"/>
      <c r="K177">
        <f t="shared" si="5"/>
        <v>0.3838120104438642</v>
      </c>
    </row>
    <row r="178" spans="1:11" ht="15" customHeight="1" x14ac:dyDescent="0.25">
      <c r="A178" s="6" t="s">
        <v>43</v>
      </c>
      <c r="B178" s="7" t="s">
        <v>15</v>
      </c>
      <c r="C178" s="7">
        <v>25</v>
      </c>
      <c r="D178" s="8">
        <f>IFERROR(C178/'Owner Totals (Pivot)(Task 4)'!B29,"")</f>
        <v>6.5274151436031339E-2</v>
      </c>
      <c r="E178" s="7">
        <v>25</v>
      </c>
      <c r="F178" s="7">
        <v>23</v>
      </c>
      <c r="G178" s="7">
        <v>22</v>
      </c>
      <c r="H178" s="8">
        <f t="shared" si="4"/>
        <v>0.88</v>
      </c>
      <c r="I178" s="7"/>
      <c r="K178">
        <f t="shared" si="5"/>
        <v>0.3838120104438642</v>
      </c>
    </row>
    <row r="179" spans="1:11" ht="15" customHeight="1" x14ac:dyDescent="0.25">
      <c r="A179" s="3" t="s">
        <v>43</v>
      </c>
      <c r="B179" s="4" t="s">
        <v>16</v>
      </c>
      <c r="C179" s="4">
        <v>11</v>
      </c>
      <c r="D179" s="5">
        <f>IFERROR(C179/'Owner Totals (Pivot)(Task 4)'!B29,"")</f>
        <v>2.8720626631853787E-2</v>
      </c>
      <c r="E179" s="4">
        <v>11</v>
      </c>
      <c r="F179" s="4">
        <v>10</v>
      </c>
      <c r="G179" s="4">
        <v>9</v>
      </c>
      <c r="H179" s="5">
        <f t="shared" si="4"/>
        <v>0.81818181818181823</v>
      </c>
      <c r="I179" s="4"/>
      <c r="K179">
        <f t="shared" si="5"/>
        <v>0.3838120104438642</v>
      </c>
    </row>
    <row r="180" spans="1:11" ht="15" customHeight="1" x14ac:dyDescent="0.25">
      <c r="A180" s="6" t="s">
        <v>43</v>
      </c>
      <c r="B180" s="7" t="s">
        <v>17</v>
      </c>
      <c r="C180" s="7">
        <v>7</v>
      </c>
      <c r="D180" s="8">
        <f>IFERROR(C180/'Owner Totals (Pivot)(Task 4)'!B29,"")</f>
        <v>1.8276762402088774E-2</v>
      </c>
      <c r="E180" s="7">
        <v>7</v>
      </c>
      <c r="F180" s="7">
        <v>7</v>
      </c>
      <c r="G180" s="7">
        <v>7</v>
      </c>
      <c r="H180" s="8">
        <f t="shared" si="4"/>
        <v>1</v>
      </c>
      <c r="I180" s="7"/>
      <c r="K180">
        <f t="shared" si="5"/>
        <v>0.3838120104438642</v>
      </c>
    </row>
    <row r="181" spans="1:11" ht="15" customHeight="1" x14ac:dyDescent="0.25">
      <c r="A181" s="3" t="s">
        <v>43</v>
      </c>
      <c r="B181" s="4" t="s">
        <v>18</v>
      </c>
      <c r="C181" s="4">
        <v>1</v>
      </c>
      <c r="D181" s="5">
        <f>IFERROR(C181/'Owner Totals (Pivot)(Task 4)'!B29,"")</f>
        <v>2.6109660574412533E-3</v>
      </c>
      <c r="E181" s="4">
        <v>0</v>
      </c>
      <c r="F181" s="4">
        <v>0</v>
      </c>
      <c r="G181" s="4">
        <v>0</v>
      </c>
      <c r="H181" s="5">
        <f t="shared" si="4"/>
        <v>0</v>
      </c>
      <c r="I181" s="4"/>
      <c r="K181">
        <f t="shared" si="5"/>
        <v>0.3838120104438642</v>
      </c>
    </row>
    <row r="182" spans="1:11" ht="15" customHeight="1" x14ac:dyDescent="0.25">
      <c r="A182" s="6" t="s">
        <v>44</v>
      </c>
      <c r="B182" s="7" t="s">
        <v>11</v>
      </c>
      <c r="C182" s="7">
        <v>38</v>
      </c>
      <c r="D182" s="8">
        <f>IFERROR(C182/'Owner Totals (Pivot)(Task 4)'!B30,"")</f>
        <v>0.18536585365853658</v>
      </c>
      <c r="E182" s="7">
        <v>23</v>
      </c>
      <c r="F182" s="7">
        <v>19</v>
      </c>
      <c r="G182" s="7">
        <v>9</v>
      </c>
      <c r="H182" s="8">
        <f t="shared" si="4"/>
        <v>0.23684210526315788</v>
      </c>
      <c r="I182" s="23" t="s">
        <v>79</v>
      </c>
      <c r="K182">
        <f t="shared" si="5"/>
        <v>0.3073170731707317</v>
      </c>
    </row>
    <row r="183" spans="1:11" ht="15" customHeight="1" x14ac:dyDescent="0.25">
      <c r="A183" s="3" t="s">
        <v>44</v>
      </c>
      <c r="B183" s="4" t="s">
        <v>12</v>
      </c>
      <c r="C183" s="4">
        <v>41</v>
      </c>
      <c r="D183" s="5">
        <f>IFERROR(C183/'Owner Totals (Pivot)(Task 4)'!B30,"")</f>
        <v>0.2</v>
      </c>
      <c r="E183" s="4">
        <v>30</v>
      </c>
      <c r="F183" s="4">
        <v>25</v>
      </c>
      <c r="G183" s="4">
        <v>23</v>
      </c>
      <c r="H183" s="5">
        <f t="shared" si="4"/>
        <v>0.56097560975609762</v>
      </c>
      <c r="I183" s="4"/>
      <c r="K183">
        <f t="shared" si="5"/>
        <v>0.3073170731707317</v>
      </c>
    </row>
    <row r="184" spans="1:11" ht="15" customHeight="1" x14ac:dyDescent="0.25">
      <c r="A184" s="6" t="s">
        <v>44</v>
      </c>
      <c r="B184" s="7" t="s">
        <v>13</v>
      </c>
      <c r="C184" s="7">
        <v>63</v>
      </c>
      <c r="D184" s="8">
        <f>IFERROR(C184/'Owner Totals (Pivot)(Task 4)'!B30,"")</f>
        <v>0.3073170731707317</v>
      </c>
      <c r="E184" s="7">
        <v>54</v>
      </c>
      <c r="F184" s="7">
        <v>42</v>
      </c>
      <c r="G184" s="7">
        <v>39</v>
      </c>
      <c r="H184" s="8">
        <f t="shared" si="4"/>
        <v>0.61904761904761907</v>
      </c>
      <c r="I184" s="7"/>
      <c r="K184">
        <f t="shared" si="5"/>
        <v>0.3073170731707317</v>
      </c>
    </row>
    <row r="185" spans="1:11" ht="15" customHeight="1" x14ac:dyDescent="0.25">
      <c r="A185" s="3" t="s">
        <v>44</v>
      </c>
      <c r="B185" s="4" t="s">
        <v>14</v>
      </c>
      <c r="C185" s="4">
        <v>30</v>
      </c>
      <c r="D185" s="5">
        <f>IFERROR(C185/'Owner Totals (Pivot)(Task 4)'!B30,"")</f>
        <v>0.14634146341463414</v>
      </c>
      <c r="E185" s="4">
        <v>26</v>
      </c>
      <c r="F185" s="4">
        <v>22</v>
      </c>
      <c r="G185" s="4">
        <v>19</v>
      </c>
      <c r="H185" s="5">
        <f t="shared" si="4"/>
        <v>0.6333333333333333</v>
      </c>
      <c r="I185" s="4"/>
      <c r="K185">
        <f t="shared" si="5"/>
        <v>0.3073170731707317</v>
      </c>
    </row>
    <row r="186" spans="1:11" ht="15" customHeight="1" x14ac:dyDescent="0.25">
      <c r="A186" s="6" t="s">
        <v>44</v>
      </c>
      <c r="B186" s="7" t="s">
        <v>15</v>
      </c>
      <c r="C186" s="7">
        <v>13</v>
      </c>
      <c r="D186" s="8">
        <f>IFERROR(C186/'Owner Totals (Pivot)(Task 4)'!B30,"")</f>
        <v>6.3414634146341464E-2</v>
      </c>
      <c r="E186" s="7">
        <v>12</v>
      </c>
      <c r="F186" s="7">
        <v>12</v>
      </c>
      <c r="G186" s="7">
        <v>9</v>
      </c>
      <c r="H186" s="8">
        <f t="shared" si="4"/>
        <v>0.69230769230769229</v>
      </c>
      <c r="I186" s="7"/>
      <c r="K186">
        <f t="shared" si="5"/>
        <v>0.3073170731707317</v>
      </c>
    </row>
    <row r="187" spans="1:11" ht="15" customHeight="1" x14ac:dyDescent="0.25">
      <c r="A187" s="3" t="s">
        <v>44</v>
      </c>
      <c r="B187" s="4" t="s">
        <v>16</v>
      </c>
      <c r="C187" s="4">
        <v>11</v>
      </c>
      <c r="D187" s="5">
        <f>IFERROR(C187/'Owner Totals (Pivot)(Task 4)'!B30,"")</f>
        <v>5.3658536585365853E-2</v>
      </c>
      <c r="E187" s="4">
        <v>11</v>
      </c>
      <c r="F187" s="4">
        <v>11</v>
      </c>
      <c r="G187" s="4">
        <v>11</v>
      </c>
      <c r="H187" s="5">
        <f t="shared" si="4"/>
        <v>1</v>
      </c>
      <c r="I187" s="4"/>
      <c r="K187">
        <f t="shared" si="5"/>
        <v>0.3073170731707317</v>
      </c>
    </row>
    <row r="188" spans="1:11" ht="15" customHeight="1" x14ac:dyDescent="0.25">
      <c r="A188" s="6" t="s">
        <v>44</v>
      </c>
      <c r="B188" s="7" t="s">
        <v>17</v>
      </c>
      <c r="C188" s="7">
        <v>9</v>
      </c>
      <c r="D188" s="8">
        <f>IFERROR(C188/'Owner Totals (Pivot)(Task 4)'!B30,"")</f>
        <v>4.3902439024390241E-2</v>
      </c>
      <c r="E188" s="7">
        <v>9</v>
      </c>
      <c r="F188" s="7">
        <v>9</v>
      </c>
      <c r="G188" s="7">
        <v>7</v>
      </c>
      <c r="H188" s="8">
        <f t="shared" si="4"/>
        <v>0.77777777777777779</v>
      </c>
      <c r="I188" s="7"/>
      <c r="K188">
        <f t="shared" si="5"/>
        <v>0.3073170731707317</v>
      </c>
    </row>
    <row r="189" spans="1:11" ht="15" customHeight="1" x14ac:dyDescent="0.25">
      <c r="A189" s="3" t="s">
        <v>45</v>
      </c>
      <c r="B189" s="4" t="s">
        <v>11</v>
      </c>
      <c r="C189" s="4">
        <v>46</v>
      </c>
      <c r="D189" s="5">
        <f>IFERROR(C189/'Owner Totals (Pivot)(Task 4)'!B31,"")</f>
        <v>0.22772277227722773</v>
      </c>
      <c r="E189" s="4">
        <v>31</v>
      </c>
      <c r="F189" s="4">
        <v>25</v>
      </c>
      <c r="G189" s="4">
        <v>22</v>
      </c>
      <c r="H189" s="5">
        <f t="shared" si="4"/>
        <v>0.47826086956521741</v>
      </c>
      <c r="I189" s="23" t="s">
        <v>79</v>
      </c>
      <c r="K189">
        <f t="shared" si="5"/>
        <v>0.3316831683168317</v>
      </c>
    </row>
    <row r="190" spans="1:11" ht="15" customHeight="1" x14ac:dyDescent="0.25">
      <c r="A190" s="6" t="s">
        <v>45</v>
      </c>
      <c r="B190" s="7" t="s">
        <v>12</v>
      </c>
      <c r="C190" s="7">
        <v>33</v>
      </c>
      <c r="D190" s="8">
        <f>IFERROR(C190/'Owner Totals (Pivot)(Task 4)'!B31,"")</f>
        <v>0.16336633663366337</v>
      </c>
      <c r="E190" s="7">
        <v>30</v>
      </c>
      <c r="F190" s="7">
        <v>25</v>
      </c>
      <c r="G190" s="7">
        <v>23</v>
      </c>
      <c r="H190" s="8">
        <f t="shared" si="4"/>
        <v>0.69696969696969702</v>
      </c>
      <c r="I190" s="7"/>
      <c r="K190">
        <f t="shared" si="5"/>
        <v>0.3316831683168317</v>
      </c>
    </row>
    <row r="191" spans="1:11" ht="15" customHeight="1" x14ac:dyDescent="0.25">
      <c r="A191" s="3" t="s">
        <v>45</v>
      </c>
      <c r="B191" s="4" t="s">
        <v>13</v>
      </c>
      <c r="C191" s="4">
        <v>67</v>
      </c>
      <c r="D191" s="5">
        <f>IFERROR(C191/'Owner Totals (Pivot)(Task 4)'!B31,"")</f>
        <v>0.3316831683168317</v>
      </c>
      <c r="E191" s="4">
        <v>62</v>
      </c>
      <c r="F191" s="4">
        <v>52</v>
      </c>
      <c r="G191" s="4">
        <v>48</v>
      </c>
      <c r="H191" s="5">
        <f t="shared" si="4"/>
        <v>0.71641791044776115</v>
      </c>
      <c r="I191" s="4"/>
      <c r="K191">
        <f t="shared" si="5"/>
        <v>0.3316831683168317</v>
      </c>
    </row>
    <row r="192" spans="1:11" ht="15" customHeight="1" x14ac:dyDescent="0.25">
      <c r="A192" s="6" t="s">
        <v>45</v>
      </c>
      <c r="B192" s="7" t="s">
        <v>14</v>
      </c>
      <c r="C192" s="7">
        <v>30</v>
      </c>
      <c r="D192" s="8">
        <f>IFERROR(C192/'Owner Totals (Pivot)(Task 4)'!B31,"")</f>
        <v>0.14851485148514851</v>
      </c>
      <c r="E192" s="7">
        <v>29</v>
      </c>
      <c r="F192" s="7">
        <v>28</v>
      </c>
      <c r="G192" s="7">
        <v>23</v>
      </c>
      <c r="H192" s="8">
        <f t="shared" si="4"/>
        <v>0.76666666666666672</v>
      </c>
      <c r="I192" s="7"/>
      <c r="K192">
        <f t="shared" si="5"/>
        <v>0.3316831683168317</v>
      </c>
    </row>
    <row r="193" spans="1:11" ht="15" customHeight="1" x14ac:dyDescent="0.25">
      <c r="A193" s="3" t="s">
        <v>45</v>
      </c>
      <c r="B193" s="4" t="s">
        <v>15</v>
      </c>
      <c r="C193" s="4">
        <v>13</v>
      </c>
      <c r="D193" s="5">
        <f>IFERROR(C193/'Owner Totals (Pivot)(Task 4)'!B31,"")</f>
        <v>6.4356435643564358E-2</v>
      </c>
      <c r="E193" s="4">
        <v>13</v>
      </c>
      <c r="F193" s="4">
        <v>13</v>
      </c>
      <c r="G193" s="4">
        <v>12</v>
      </c>
      <c r="H193" s="5">
        <f t="shared" si="4"/>
        <v>0.92307692307692313</v>
      </c>
      <c r="I193" s="4"/>
      <c r="K193">
        <f t="shared" si="5"/>
        <v>0.3316831683168317</v>
      </c>
    </row>
    <row r="194" spans="1:11" ht="15" customHeight="1" x14ac:dyDescent="0.25">
      <c r="A194" s="6" t="s">
        <v>45</v>
      </c>
      <c r="B194" s="7" t="s">
        <v>16</v>
      </c>
      <c r="C194" s="7">
        <v>8</v>
      </c>
      <c r="D194" s="8">
        <f>IFERROR(C194/'Owner Totals (Pivot)(Task 4)'!B31,"")</f>
        <v>3.9603960396039604E-2</v>
      </c>
      <c r="E194" s="7">
        <v>8</v>
      </c>
      <c r="F194" s="7">
        <v>8</v>
      </c>
      <c r="G194" s="7">
        <v>7</v>
      </c>
      <c r="H194" s="8">
        <f t="shared" si="4"/>
        <v>0.875</v>
      </c>
      <c r="I194" s="7"/>
      <c r="K194">
        <f t="shared" si="5"/>
        <v>0.3316831683168317</v>
      </c>
    </row>
    <row r="195" spans="1:11" ht="15" customHeight="1" x14ac:dyDescent="0.25">
      <c r="A195" s="3" t="s">
        <v>45</v>
      </c>
      <c r="B195" s="4" t="s">
        <v>17</v>
      </c>
      <c r="C195" s="4">
        <v>5</v>
      </c>
      <c r="D195" s="5">
        <f>IFERROR(C195/'Owner Totals (Pivot)(Task 4)'!B31,"")</f>
        <v>2.4752475247524754E-2</v>
      </c>
      <c r="E195" s="4">
        <v>5</v>
      </c>
      <c r="F195" s="4">
        <v>4</v>
      </c>
      <c r="G195" s="4">
        <v>4</v>
      </c>
      <c r="H195" s="5">
        <f t="shared" ref="H195:H258" si="6">IFERROR(G195/C195,"")</f>
        <v>0.8</v>
      </c>
      <c r="I195" s="4"/>
      <c r="K195">
        <f t="shared" ref="K195:K258" si="7">SUMPRODUCT(MAX(($A$4:$A$274=A195)*$D$4:$D$274))</f>
        <v>0.3316831683168317</v>
      </c>
    </row>
    <row r="196" spans="1:11" ht="15" customHeight="1" x14ac:dyDescent="0.25">
      <c r="A196" s="6" t="s">
        <v>46</v>
      </c>
      <c r="B196" s="7" t="s">
        <v>11</v>
      </c>
      <c r="C196" s="7">
        <v>39</v>
      </c>
      <c r="D196" s="8">
        <f>IFERROR(C196/'Owner Totals (Pivot)(Task 4)'!B32,"")</f>
        <v>7.5144508670520235E-2</v>
      </c>
      <c r="E196" s="7">
        <v>38</v>
      </c>
      <c r="F196" s="7">
        <v>34</v>
      </c>
      <c r="G196" s="7">
        <v>30</v>
      </c>
      <c r="H196" s="8">
        <f t="shared" si="6"/>
        <v>0.76923076923076927</v>
      </c>
      <c r="I196" s="4" t="s">
        <v>77</v>
      </c>
      <c r="K196">
        <f t="shared" si="7"/>
        <v>0.36801541425818884</v>
      </c>
    </row>
    <row r="197" spans="1:11" ht="15" customHeight="1" x14ac:dyDescent="0.25">
      <c r="A197" s="3" t="s">
        <v>46</v>
      </c>
      <c r="B197" s="4" t="s">
        <v>12</v>
      </c>
      <c r="C197" s="4">
        <v>84</v>
      </c>
      <c r="D197" s="5">
        <f>IFERROR(C197/'Owner Totals (Pivot)(Task 4)'!B32,"")</f>
        <v>0.16184971098265896</v>
      </c>
      <c r="E197" s="4">
        <v>72</v>
      </c>
      <c r="F197" s="4">
        <v>64</v>
      </c>
      <c r="G197" s="4">
        <v>58</v>
      </c>
      <c r="H197" s="5">
        <f t="shared" si="6"/>
        <v>0.69047619047619047</v>
      </c>
      <c r="I197" s="4"/>
      <c r="K197">
        <f t="shared" si="7"/>
        <v>0.36801541425818884</v>
      </c>
    </row>
    <row r="198" spans="1:11" ht="15" customHeight="1" x14ac:dyDescent="0.25">
      <c r="A198" s="6" t="s">
        <v>46</v>
      </c>
      <c r="B198" s="7" t="s">
        <v>13</v>
      </c>
      <c r="C198" s="7">
        <v>191</v>
      </c>
      <c r="D198" s="8">
        <f>IFERROR(C198/'Owner Totals (Pivot)(Task 4)'!B32,"")</f>
        <v>0.36801541425818884</v>
      </c>
      <c r="E198" s="7">
        <v>167</v>
      </c>
      <c r="F198" s="7">
        <v>146</v>
      </c>
      <c r="G198" s="7">
        <v>129</v>
      </c>
      <c r="H198" s="8">
        <f t="shared" si="6"/>
        <v>0.67539267015706805</v>
      </c>
      <c r="I198" s="7"/>
      <c r="K198">
        <f t="shared" si="7"/>
        <v>0.36801541425818884</v>
      </c>
    </row>
    <row r="199" spans="1:11" ht="15" customHeight="1" x14ac:dyDescent="0.25">
      <c r="A199" s="3" t="s">
        <v>46</v>
      </c>
      <c r="B199" s="4" t="s">
        <v>14</v>
      </c>
      <c r="C199" s="4">
        <v>105</v>
      </c>
      <c r="D199" s="5">
        <f>IFERROR(C199/'Owner Totals (Pivot)(Task 4)'!B32,"")</f>
        <v>0.20231213872832371</v>
      </c>
      <c r="E199" s="4">
        <v>100</v>
      </c>
      <c r="F199" s="4">
        <v>90</v>
      </c>
      <c r="G199" s="4">
        <v>87</v>
      </c>
      <c r="H199" s="5">
        <f t="shared" si="6"/>
        <v>0.82857142857142863</v>
      </c>
      <c r="I199" s="24"/>
      <c r="K199">
        <f t="shared" si="7"/>
        <v>0.36801541425818884</v>
      </c>
    </row>
    <row r="200" spans="1:11" ht="15" customHeight="1" x14ac:dyDescent="0.25">
      <c r="A200" s="6" t="s">
        <v>46</v>
      </c>
      <c r="B200" s="7" t="s">
        <v>15</v>
      </c>
      <c r="C200" s="7">
        <v>57</v>
      </c>
      <c r="D200" s="8">
        <f>IFERROR(C200/'Owner Totals (Pivot)(Task 4)'!B32,"")</f>
        <v>0.10982658959537572</v>
      </c>
      <c r="E200" s="7">
        <v>56</v>
      </c>
      <c r="F200" s="7">
        <v>53</v>
      </c>
      <c r="G200" s="7">
        <v>50</v>
      </c>
      <c r="H200" s="8">
        <f t="shared" si="6"/>
        <v>0.8771929824561403</v>
      </c>
      <c r="I200" s="7"/>
      <c r="K200">
        <f t="shared" si="7"/>
        <v>0.36801541425818884</v>
      </c>
    </row>
    <row r="201" spans="1:11" ht="15" customHeight="1" x14ac:dyDescent="0.25">
      <c r="A201" s="3" t="s">
        <v>46</v>
      </c>
      <c r="B201" s="4" t="s">
        <v>16</v>
      </c>
      <c r="C201" s="4">
        <v>30</v>
      </c>
      <c r="D201" s="5">
        <f>IFERROR(C201/'Owner Totals (Pivot)(Task 4)'!B32,"")</f>
        <v>5.7803468208092484E-2</v>
      </c>
      <c r="E201" s="4">
        <v>29</v>
      </c>
      <c r="F201" s="4">
        <v>29</v>
      </c>
      <c r="G201" s="4">
        <v>27</v>
      </c>
      <c r="H201" s="5">
        <f t="shared" si="6"/>
        <v>0.9</v>
      </c>
      <c r="I201" s="4"/>
      <c r="K201">
        <f t="shared" si="7"/>
        <v>0.36801541425818884</v>
      </c>
    </row>
    <row r="202" spans="1:11" ht="15" customHeight="1" x14ac:dyDescent="0.25">
      <c r="A202" s="6" t="s">
        <v>46</v>
      </c>
      <c r="B202" s="7" t="s">
        <v>17</v>
      </c>
      <c r="C202" s="7">
        <v>13</v>
      </c>
      <c r="D202" s="8">
        <f>IFERROR(C202/'Owner Totals (Pivot)(Task 4)'!B32,"")</f>
        <v>2.5048169556840076E-2</v>
      </c>
      <c r="E202" s="7">
        <v>12</v>
      </c>
      <c r="F202" s="7">
        <v>11</v>
      </c>
      <c r="G202" s="7">
        <v>11</v>
      </c>
      <c r="H202" s="8">
        <f t="shared" si="6"/>
        <v>0.84615384615384615</v>
      </c>
      <c r="I202" s="7"/>
      <c r="K202">
        <f t="shared" si="7"/>
        <v>0.36801541425818884</v>
      </c>
    </row>
    <row r="203" spans="1:11" ht="15" customHeight="1" x14ac:dyDescent="0.25">
      <c r="A203" s="3" t="s">
        <v>47</v>
      </c>
      <c r="B203" s="4" t="s">
        <v>11</v>
      </c>
      <c r="C203" s="4">
        <v>47</v>
      </c>
      <c r="D203" s="5">
        <f>IFERROR(C203/'Owner Totals (Pivot)(Task 4)'!B33,"")</f>
        <v>0.1327683615819209</v>
      </c>
      <c r="E203" s="4">
        <v>41</v>
      </c>
      <c r="F203" s="4">
        <v>32</v>
      </c>
      <c r="G203" s="4">
        <v>30</v>
      </c>
      <c r="H203" s="5">
        <f t="shared" si="6"/>
        <v>0.63829787234042556</v>
      </c>
      <c r="I203" s="23" t="s">
        <v>79</v>
      </c>
      <c r="K203">
        <f t="shared" si="7"/>
        <v>0.31073446327683618</v>
      </c>
    </row>
    <row r="204" spans="1:11" ht="15" customHeight="1" x14ac:dyDescent="0.25">
      <c r="A204" s="6" t="s">
        <v>47</v>
      </c>
      <c r="B204" s="7" t="s">
        <v>12</v>
      </c>
      <c r="C204" s="7">
        <v>43</v>
      </c>
      <c r="D204" s="8">
        <f>IFERROR(C204/'Owner Totals (Pivot)(Task 4)'!B33,"")</f>
        <v>0.12146892655367232</v>
      </c>
      <c r="E204" s="7">
        <v>37</v>
      </c>
      <c r="F204" s="7">
        <v>30</v>
      </c>
      <c r="G204" s="7">
        <v>25</v>
      </c>
      <c r="H204" s="8">
        <f t="shared" si="6"/>
        <v>0.58139534883720934</v>
      </c>
      <c r="I204" s="7"/>
      <c r="K204">
        <f t="shared" si="7"/>
        <v>0.31073446327683618</v>
      </c>
    </row>
    <row r="205" spans="1:11" ht="15" customHeight="1" x14ac:dyDescent="0.25">
      <c r="A205" s="3" t="s">
        <v>47</v>
      </c>
      <c r="B205" s="4" t="s">
        <v>13</v>
      </c>
      <c r="C205" s="4">
        <v>110</v>
      </c>
      <c r="D205" s="5">
        <f>IFERROR(C205/'Owner Totals (Pivot)(Task 4)'!B33,"")</f>
        <v>0.31073446327683618</v>
      </c>
      <c r="E205" s="4">
        <v>92</v>
      </c>
      <c r="F205" s="4">
        <v>79</v>
      </c>
      <c r="G205" s="4">
        <v>69</v>
      </c>
      <c r="H205" s="5">
        <f t="shared" si="6"/>
        <v>0.62727272727272732</v>
      </c>
      <c r="I205" s="4"/>
      <c r="K205">
        <f t="shared" si="7"/>
        <v>0.31073446327683618</v>
      </c>
    </row>
    <row r="206" spans="1:11" ht="15" customHeight="1" x14ac:dyDescent="0.25">
      <c r="A206" s="6" t="s">
        <v>47</v>
      </c>
      <c r="B206" s="7" t="s">
        <v>14</v>
      </c>
      <c r="C206" s="7">
        <v>69</v>
      </c>
      <c r="D206" s="8">
        <f>IFERROR(C206/'Owner Totals (Pivot)(Task 4)'!B33,"")</f>
        <v>0.19491525423728814</v>
      </c>
      <c r="E206" s="7">
        <v>64</v>
      </c>
      <c r="F206" s="7">
        <v>55</v>
      </c>
      <c r="G206" s="7">
        <v>51</v>
      </c>
      <c r="H206" s="8">
        <f t="shared" si="6"/>
        <v>0.73913043478260865</v>
      </c>
      <c r="I206" s="7"/>
      <c r="K206">
        <f t="shared" si="7"/>
        <v>0.31073446327683618</v>
      </c>
    </row>
    <row r="207" spans="1:11" ht="15" customHeight="1" x14ac:dyDescent="0.25">
      <c r="A207" s="3" t="s">
        <v>47</v>
      </c>
      <c r="B207" s="4" t="s">
        <v>15</v>
      </c>
      <c r="C207" s="4">
        <v>38</v>
      </c>
      <c r="D207" s="5">
        <f>IFERROR(C207/'Owner Totals (Pivot)(Task 4)'!B33,"")</f>
        <v>0.10734463276836158</v>
      </c>
      <c r="E207" s="4">
        <v>35</v>
      </c>
      <c r="F207" s="4">
        <v>31</v>
      </c>
      <c r="G207" s="4">
        <v>30</v>
      </c>
      <c r="H207" s="5">
        <f t="shared" si="6"/>
        <v>0.78947368421052633</v>
      </c>
      <c r="I207" s="4"/>
      <c r="K207">
        <f t="shared" si="7"/>
        <v>0.31073446327683618</v>
      </c>
    </row>
    <row r="208" spans="1:11" ht="15" customHeight="1" x14ac:dyDescent="0.25">
      <c r="A208" s="6" t="s">
        <v>47</v>
      </c>
      <c r="B208" s="7" t="s">
        <v>16</v>
      </c>
      <c r="C208" s="7">
        <v>18</v>
      </c>
      <c r="D208" s="8">
        <f>IFERROR(C208/'Owner Totals (Pivot)(Task 4)'!B33,"")</f>
        <v>5.0847457627118647E-2</v>
      </c>
      <c r="E208" s="7">
        <v>16</v>
      </c>
      <c r="F208" s="7">
        <v>15</v>
      </c>
      <c r="G208" s="7">
        <v>15</v>
      </c>
      <c r="H208" s="8">
        <f t="shared" si="6"/>
        <v>0.83333333333333337</v>
      </c>
      <c r="I208" s="7"/>
      <c r="K208">
        <f t="shared" si="7"/>
        <v>0.31073446327683618</v>
      </c>
    </row>
    <row r="209" spans="1:11" ht="15" customHeight="1" x14ac:dyDescent="0.25">
      <c r="A209" s="3" t="s">
        <v>47</v>
      </c>
      <c r="B209" s="4" t="s">
        <v>17</v>
      </c>
      <c r="C209" s="4">
        <v>29</v>
      </c>
      <c r="D209" s="5">
        <f>IFERROR(C209/'Owner Totals (Pivot)(Task 4)'!B33,"")</f>
        <v>8.1920903954802254E-2</v>
      </c>
      <c r="E209" s="4">
        <v>27</v>
      </c>
      <c r="F209" s="4">
        <v>26</v>
      </c>
      <c r="G209" s="4">
        <v>25</v>
      </c>
      <c r="H209" s="5">
        <f t="shared" si="6"/>
        <v>0.86206896551724133</v>
      </c>
      <c r="I209" s="4"/>
      <c r="K209">
        <f t="shared" si="7"/>
        <v>0.31073446327683618</v>
      </c>
    </row>
    <row r="210" spans="1:11" ht="15" customHeight="1" x14ac:dyDescent="0.25">
      <c r="A210" s="6" t="s">
        <v>48</v>
      </c>
      <c r="B210" s="7" t="s">
        <v>11</v>
      </c>
      <c r="C210" s="7">
        <v>14</v>
      </c>
      <c r="D210" s="8">
        <f>IFERROR(C210/'Owner Totals (Pivot)(Task 4)'!B34,"")</f>
        <v>0.18666666666666668</v>
      </c>
      <c r="E210" s="7">
        <v>9</v>
      </c>
      <c r="F210" s="7">
        <v>9</v>
      </c>
      <c r="G210" s="7">
        <v>7</v>
      </c>
      <c r="H210" s="8">
        <f t="shared" si="6"/>
        <v>0.5</v>
      </c>
      <c r="I210" s="23" t="s">
        <v>79</v>
      </c>
      <c r="K210">
        <f t="shared" si="7"/>
        <v>0.25333333333333335</v>
      </c>
    </row>
    <row r="211" spans="1:11" ht="15" customHeight="1" x14ac:dyDescent="0.25">
      <c r="A211" s="3" t="s">
        <v>48</v>
      </c>
      <c r="B211" s="4" t="s">
        <v>12</v>
      </c>
      <c r="C211" s="4">
        <v>9</v>
      </c>
      <c r="D211" s="5">
        <f>IFERROR(C211/'Owner Totals (Pivot)(Task 4)'!B34,"")</f>
        <v>0.12</v>
      </c>
      <c r="E211" s="4">
        <v>6</v>
      </c>
      <c r="F211" s="4">
        <v>6</v>
      </c>
      <c r="G211" s="4">
        <v>5</v>
      </c>
      <c r="H211" s="5">
        <f t="shared" si="6"/>
        <v>0.55555555555555558</v>
      </c>
      <c r="I211" s="4"/>
      <c r="K211">
        <f t="shared" si="7"/>
        <v>0.25333333333333335</v>
      </c>
    </row>
    <row r="212" spans="1:11" ht="15" customHeight="1" x14ac:dyDescent="0.25">
      <c r="A212" s="6" t="s">
        <v>48</v>
      </c>
      <c r="B212" s="7" t="s">
        <v>13</v>
      </c>
      <c r="C212" s="7">
        <v>19</v>
      </c>
      <c r="D212" s="8">
        <f>IFERROR(C212/'Owner Totals (Pivot)(Task 4)'!B34,"")</f>
        <v>0.25333333333333335</v>
      </c>
      <c r="E212" s="7">
        <v>16</v>
      </c>
      <c r="F212" s="7">
        <v>14</v>
      </c>
      <c r="G212" s="7">
        <v>12</v>
      </c>
      <c r="H212" s="8">
        <f t="shared" si="6"/>
        <v>0.63157894736842102</v>
      </c>
      <c r="I212" s="7"/>
      <c r="K212">
        <f t="shared" si="7"/>
        <v>0.25333333333333335</v>
      </c>
    </row>
    <row r="213" spans="1:11" ht="15" customHeight="1" x14ac:dyDescent="0.25">
      <c r="A213" s="3" t="s">
        <v>48</v>
      </c>
      <c r="B213" s="4" t="s">
        <v>14</v>
      </c>
      <c r="C213" s="4">
        <v>14</v>
      </c>
      <c r="D213" s="5">
        <f>IFERROR(C213/'Owner Totals (Pivot)(Task 4)'!B34,"")</f>
        <v>0.18666666666666668</v>
      </c>
      <c r="E213" s="4">
        <v>13</v>
      </c>
      <c r="F213" s="4">
        <v>12</v>
      </c>
      <c r="G213" s="4">
        <v>12</v>
      </c>
      <c r="H213" s="5">
        <f t="shared" si="6"/>
        <v>0.8571428571428571</v>
      </c>
      <c r="I213" s="4"/>
      <c r="K213">
        <f t="shared" si="7"/>
        <v>0.25333333333333335</v>
      </c>
    </row>
    <row r="214" spans="1:11" ht="15" customHeight="1" x14ac:dyDescent="0.25">
      <c r="A214" s="6" t="s">
        <v>48</v>
      </c>
      <c r="B214" s="7" t="s">
        <v>15</v>
      </c>
      <c r="C214" s="7">
        <v>8</v>
      </c>
      <c r="D214" s="8">
        <f>IFERROR(C214/'Owner Totals (Pivot)(Task 4)'!B34,"")</f>
        <v>0.10666666666666667</v>
      </c>
      <c r="E214" s="7">
        <v>7</v>
      </c>
      <c r="F214" s="7">
        <v>7</v>
      </c>
      <c r="G214" s="7">
        <v>7</v>
      </c>
      <c r="H214" s="8">
        <f t="shared" si="6"/>
        <v>0.875</v>
      </c>
      <c r="I214" s="7"/>
      <c r="K214">
        <f t="shared" si="7"/>
        <v>0.25333333333333335</v>
      </c>
    </row>
    <row r="215" spans="1:11" ht="15" customHeight="1" x14ac:dyDescent="0.25">
      <c r="A215" s="3" t="s">
        <v>48</v>
      </c>
      <c r="B215" s="4" t="s">
        <v>16</v>
      </c>
      <c r="C215" s="4">
        <v>6</v>
      </c>
      <c r="D215" s="5">
        <f>IFERROR(C215/'Owner Totals (Pivot)(Task 4)'!B34,"")</f>
        <v>0.08</v>
      </c>
      <c r="E215" s="4">
        <v>4</v>
      </c>
      <c r="F215" s="4">
        <v>3</v>
      </c>
      <c r="G215" s="4">
        <v>3</v>
      </c>
      <c r="H215" s="5">
        <f t="shared" si="6"/>
        <v>0.5</v>
      </c>
      <c r="I215" s="4"/>
      <c r="K215">
        <f t="shared" si="7"/>
        <v>0.25333333333333335</v>
      </c>
    </row>
    <row r="216" spans="1:11" ht="15" customHeight="1" x14ac:dyDescent="0.25">
      <c r="A216" s="6" t="s">
        <v>48</v>
      </c>
      <c r="B216" s="7" t="s">
        <v>17</v>
      </c>
      <c r="C216" s="7">
        <v>5</v>
      </c>
      <c r="D216" s="8">
        <f>IFERROR(C216/'Owner Totals (Pivot)(Task 4)'!B34,"")</f>
        <v>6.6666666666666666E-2</v>
      </c>
      <c r="E216" s="7">
        <v>4</v>
      </c>
      <c r="F216" s="7">
        <v>3</v>
      </c>
      <c r="G216" s="7">
        <v>3</v>
      </c>
      <c r="H216" s="8">
        <f t="shared" si="6"/>
        <v>0.6</v>
      </c>
      <c r="I216" s="7"/>
      <c r="K216">
        <f t="shared" si="7"/>
        <v>0.25333333333333335</v>
      </c>
    </row>
    <row r="217" spans="1:11" ht="15" customHeight="1" x14ac:dyDescent="0.25">
      <c r="A217" s="3" t="s">
        <v>49</v>
      </c>
      <c r="B217" s="4" t="s">
        <v>12</v>
      </c>
      <c r="C217" s="4">
        <v>2</v>
      </c>
      <c r="D217" s="5">
        <f>IFERROR(C217/'Owner Totals (Pivot)(Task 4)'!B35,"")</f>
        <v>0.5</v>
      </c>
      <c r="E217" s="4">
        <v>2</v>
      </c>
      <c r="F217" s="4">
        <v>0</v>
      </c>
      <c r="G217" s="4">
        <v>0</v>
      </c>
      <c r="H217" s="5">
        <f t="shared" si="6"/>
        <v>0</v>
      </c>
      <c r="I217" s="4"/>
      <c r="K217">
        <f t="shared" si="7"/>
        <v>0.5</v>
      </c>
    </row>
    <row r="218" spans="1:11" ht="15" customHeight="1" x14ac:dyDescent="0.25">
      <c r="A218" s="6" t="s">
        <v>49</v>
      </c>
      <c r="B218" s="7" t="s">
        <v>14</v>
      </c>
      <c r="C218" s="7">
        <v>2</v>
      </c>
      <c r="D218" s="8">
        <f>IFERROR(C218/'Owner Totals (Pivot)(Task 4)'!B35,"")</f>
        <v>0.5</v>
      </c>
      <c r="E218" s="7">
        <v>1</v>
      </c>
      <c r="F218" s="7">
        <v>1</v>
      </c>
      <c r="G218" s="7">
        <v>1</v>
      </c>
      <c r="H218" s="8">
        <f t="shared" si="6"/>
        <v>0.5</v>
      </c>
      <c r="I218" s="7"/>
      <c r="K218">
        <f t="shared" si="7"/>
        <v>0.5</v>
      </c>
    </row>
    <row r="219" spans="1:11" ht="15" customHeight="1" x14ac:dyDescent="0.25">
      <c r="A219" s="3" t="s">
        <v>50</v>
      </c>
      <c r="B219" s="4" t="s">
        <v>11</v>
      </c>
      <c r="C219" s="4">
        <v>12</v>
      </c>
      <c r="D219" s="5">
        <f>IFERROR(C219/'Owner Totals (Pivot)(Task 4)'!B36,"")</f>
        <v>0.12</v>
      </c>
      <c r="E219" s="4">
        <v>9</v>
      </c>
      <c r="F219" s="4">
        <v>9</v>
      </c>
      <c r="G219" s="4">
        <v>8</v>
      </c>
      <c r="H219" s="5">
        <f t="shared" si="6"/>
        <v>0.66666666666666663</v>
      </c>
      <c r="I219" s="23" t="s">
        <v>79</v>
      </c>
      <c r="K219">
        <f t="shared" si="7"/>
        <v>0.28000000000000003</v>
      </c>
    </row>
    <row r="220" spans="1:11" ht="15" customHeight="1" x14ac:dyDescent="0.25">
      <c r="A220" s="6" t="s">
        <v>50</v>
      </c>
      <c r="B220" s="7" t="s">
        <v>12</v>
      </c>
      <c r="C220" s="7">
        <v>13</v>
      </c>
      <c r="D220" s="8">
        <f>IFERROR(C220/'Owner Totals (Pivot)(Task 4)'!B36,"")</f>
        <v>0.13</v>
      </c>
      <c r="E220" s="7">
        <v>7</v>
      </c>
      <c r="F220" s="7">
        <v>5</v>
      </c>
      <c r="G220" s="7">
        <v>5</v>
      </c>
      <c r="H220" s="8">
        <f t="shared" si="6"/>
        <v>0.38461538461538464</v>
      </c>
      <c r="I220" s="7"/>
      <c r="K220">
        <f t="shared" si="7"/>
        <v>0.28000000000000003</v>
      </c>
    </row>
    <row r="221" spans="1:11" ht="15" customHeight="1" x14ac:dyDescent="0.25">
      <c r="A221" s="3" t="s">
        <v>50</v>
      </c>
      <c r="B221" s="4" t="s">
        <v>13</v>
      </c>
      <c r="C221" s="4">
        <v>28</v>
      </c>
      <c r="D221" s="5">
        <f>IFERROR(C221/'Owner Totals (Pivot)(Task 4)'!B36,"")</f>
        <v>0.28000000000000003</v>
      </c>
      <c r="E221" s="4">
        <v>26</v>
      </c>
      <c r="F221" s="4">
        <v>21</v>
      </c>
      <c r="G221" s="4">
        <v>18</v>
      </c>
      <c r="H221" s="5">
        <f t="shared" si="6"/>
        <v>0.6428571428571429</v>
      </c>
      <c r="I221" s="4"/>
      <c r="K221">
        <f t="shared" si="7"/>
        <v>0.28000000000000003</v>
      </c>
    </row>
    <row r="222" spans="1:11" ht="15" customHeight="1" x14ac:dyDescent="0.25">
      <c r="A222" s="6" t="s">
        <v>50</v>
      </c>
      <c r="B222" s="7" t="s">
        <v>14</v>
      </c>
      <c r="C222" s="7">
        <v>21</v>
      </c>
      <c r="D222" s="8">
        <f>IFERROR(C222/'Owner Totals (Pivot)(Task 4)'!B36,"")</f>
        <v>0.21</v>
      </c>
      <c r="E222" s="7">
        <v>20</v>
      </c>
      <c r="F222" s="7">
        <v>19</v>
      </c>
      <c r="G222" s="7">
        <v>17</v>
      </c>
      <c r="H222" s="8">
        <f t="shared" si="6"/>
        <v>0.80952380952380953</v>
      </c>
      <c r="I222" s="7"/>
      <c r="K222">
        <f t="shared" si="7"/>
        <v>0.28000000000000003</v>
      </c>
    </row>
    <row r="223" spans="1:11" ht="15" customHeight="1" x14ac:dyDescent="0.25">
      <c r="A223" s="3" t="s">
        <v>50</v>
      </c>
      <c r="B223" s="4" t="s">
        <v>15</v>
      </c>
      <c r="C223" s="4">
        <v>7</v>
      </c>
      <c r="D223" s="5">
        <f>IFERROR(C223/'Owner Totals (Pivot)(Task 4)'!B36,"")</f>
        <v>7.0000000000000007E-2</v>
      </c>
      <c r="E223" s="4">
        <v>5</v>
      </c>
      <c r="F223" s="4">
        <v>4</v>
      </c>
      <c r="G223" s="4">
        <v>4</v>
      </c>
      <c r="H223" s="5">
        <f t="shared" si="6"/>
        <v>0.5714285714285714</v>
      </c>
      <c r="I223" s="4"/>
      <c r="K223">
        <f t="shared" si="7"/>
        <v>0.28000000000000003</v>
      </c>
    </row>
    <row r="224" spans="1:11" ht="15" customHeight="1" x14ac:dyDescent="0.25">
      <c r="A224" s="6" t="s">
        <v>50</v>
      </c>
      <c r="B224" s="7" t="s">
        <v>16</v>
      </c>
      <c r="C224" s="7">
        <v>3</v>
      </c>
      <c r="D224" s="8">
        <f>IFERROR(C224/'Owner Totals (Pivot)(Task 4)'!B36,"")</f>
        <v>0.03</v>
      </c>
      <c r="E224" s="7">
        <v>3</v>
      </c>
      <c r="F224" s="7">
        <v>3</v>
      </c>
      <c r="G224" s="7">
        <v>3</v>
      </c>
      <c r="H224" s="8">
        <f t="shared" si="6"/>
        <v>1</v>
      </c>
      <c r="I224" s="7"/>
      <c r="K224">
        <f t="shared" si="7"/>
        <v>0.28000000000000003</v>
      </c>
    </row>
    <row r="225" spans="1:11" ht="15" customHeight="1" x14ac:dyDescent="0.25">
      <c r="A225" s="3" t="s">
        <v>50</v>
      </c>
      <c r="B225" s="4" t="s">
        <v>17</v>
      </c>
      <c r="C225" s="4">
        <v>16</v>
      </c>
      <c r="D225" s="5">
        <f>IFERROR(C225/'Owner Totals (Pivot)(Task 4)'!B36,"")</f>
        <v>0.16</v>
      </c>
      <c r="E225" s="4">
        <v>15</v>
      </c>
      <c r="F225" s="4">
        <v>13</v>
      </c>
      <c r="G225" s="4">
        <v>10</v>
      </c>
      <c r="H225" s="5">
        <f t="shared" si="6"/>
        <v>0.625</v>
      </c>
      <c r="I225" s="4"/>
      <c r="K225">
        <f t="shared" si="7"/>
        <v>0.28000000000000003</v>
      </c>
    </row>
    <row r="226" spans="1:11" ht="15" customHeight="1" x14ac:dyDescent="0.25">
      <c r="A226" s="6" t="s">
        <v>51</v>
      </c>
      <c r="B226" s="7" t="s">
        <v>12</v>
      </c>
      <c r="C226" s="7">
        <v>9</v>
      </c>
      <c r="D226" s="8">
        <f>IFERROR(C226/'Owner Totals (Pivot)(Task 4)'!B37,"")</f>
        <v>6.6666666666666666E-2</v>
      </c>
      <c r="E226" s="7">
        <v>6</v>
      </c>
      <c r="F226" s="7">
        <v>3</v>
      </c>
      <c r="G226" s="7">
        <v>2</v>
      </c>
      <c r="H226" s="8">
        <f t="shared" si="6"/>
        <v>0.22222222222222221</v>
      </c>
      <c r="I226" s="7"/>
      <c r="K226">
        <f t="shared" si="7"/>
        <v>0.53333333333333333</v>
      </c>
    </row>
    <row r="227" spans="1:11" ht="15" customHeight="1" x14ac:dyDescent="0.25">
      <c r="A227" s="3" t="s">
        <v>51</v>
      </c>
      <c r="B227" s="4" t="s">
        <v>13</v>
      </c>
      <c r="C227" s="4">
        <v>72</v>
      </c>
      <c r="D227" s="5">
        <f>IFERROR(C227/'Owner Totals (Pivot)(Task 4)'!B37,"")</f>
        <v>0.53333333333333333</v>
      </c>
      <c r="E227" s="4">
        <v>66</v>
      </c>
      <c r="F227" s="4">
        <v>61</v>
      </c>
      <c r="G227" s="4">
        <v>53</v>
      </c>
      <c r="H227" s="5">
        <f t="shared" si="6"/>
        <v>0.73611111111111116</v>
      </c>
      <c r="I227" s="4"/>
      <c r="K227">
        <f t="shared" si="7"/>
        <v>0.53333333333333333</v>
      </c>
    </row>
    <row r="228" spans="1:11" ht="15" customHeight="1" x14ac:dyDescent="0.25">
      <c r="A228" s="6" t="s">
        <v>51</v>
      </c>
      <c r="B228" s="7" t="s">
        <v>14</v>
      </c>
      <c r="C228" s="7">
        <v>30</v>
      </c>
      <c r="D228" s="8">
        <f>IFERROR(C228/'Owner Totals (Pivot)(Task 4)'!B37,"")</f>
        <v>0.22222222222222221</v>
      </c>
      <c r="E228" s="7">
        <v>29</v>
      </c>
      <c r="F228" s="7">
        <v>27</v>
      </c>
      <c r="G228" s="7">
        <v>27</v>
      </c>
      <c r="H228" s="8">
        <f t="shared" si="6"/>
        <v>0.9</v>
      </c>
      <c r="I228" s="7"/>
      <c r="K228">
        <f t="shared" si="7"/>
        <v>0.53333333333333333</v>
      </c>
    </row>
    <row r="229" spans="1:11" ht="15" customHeight="1" x14ac:dyDescent="0.25">
      <c r="A229" s="3" t="s">
        <v>51</v>
      </c>
      <c r="B229" s="4" t="s">
        <v>15</v>
      </c>
      <c r="C229" s="4">
        <v>10</v>
      </c>
      <c r="D229" s="5">
        <f>IFERROR(C229/'Owner Totals (Pivot)(Task 4)'!B37,"")</f>
        <v>7.407407407407407E-2</v>
      </c>
      <c r="E229" s="4">
        <v>10</v>
      </c>
      <c r="F229" s="4">
        <v>10</v>
      </c>
      <c r="G229" s="4">
        <v>9</v>
      </c>
      <c r="H229" s="5">
        <f t="shared" si="6"/>
        <v>0.9</v>
      </c>
      <c r="I229" s="4"/>
      <c r="K229">
        <f t="shared" si="7"/>
        <v>0.53333333333333333</v>
      </c>
    </row>
    <row r="230" spans="1:11" ht="15" customHeight="1" x14ac:dyDescent="0.25">
      <c r="A230" s="6" t="s">
        <v>51</v>
      </c>
      <c r="B230" s="7" t="s">
        <v>16</v>
      </c>
      <c r="C230" s="7">
        <v>8</v>
      </c>
      <c r="D230" s="8">
        <f>IFERROR(C230/'Owner Totals (Pivot)(Task 4)'!B37,"")</f>
        <v>5.9259259259259262E-2</v>
      </c>
      <c r="E230" s="7">
        <v>8</v>
      </c>
      <c r="F230" s="7">
        <v>8</v>
      </c>
      <c r="G230" s="7">
        <v>7</v>
      </c>
      <c r="H230" s="8">
        <f t="shared" si="6"/>
        <v>0.875</v>
      </c>
      <c r="I230" s="7"/>
      <c r="K230">
        <f t="shared" si="7"/>
        <v>0.53333333333333333</v>
      </c>
    </row>
    <row r="231" spans="1:11" ht="15" customHeight="1" x14ac:dyDescent="0.25">
      <c r="A231" s="3" t="s">
        <v>51</v>
      </c>
      <c r="B231" s="4" t="s">
        <v>17</v>
      </c>
      <c r="C231" s="4">
        <v>6</v>
      </c>
      <c r="D231" s="5">
        <f>IFERROR(C231/'Owner Totals (Pivot)(Task 4)'!B37,"")</f>
        <v>4.4444444444444446E-2</v>
      </c>
      <c r="E231" s="4">
        <v>6</v>
      </c>
      <c r="F231" s="4">
        <v>6</v>
      </c>
      <c r="G231" s="4">
        <v>6</v>
      </c>
      <c r="H231" s="5">
        <f t="shared" si="6"/>
        <v>1</v>
      </c>
      <c r="I231" s="4"/>
      <c r="K231">
        <f t="shared" si="7"/>
        <v>0.53333333333333333</v>
      </c>
    </row>
    <row r="232" spans="1:11" ht="15" customHeight="1" x14ac:dyDescent="0.25">
      <c r="A232" s="6" t="s">
        <v>52</v>
      </c>
      <c r="B232" s="7" t="s">
        <v>11</v>
      </c>
      <c r="C232" s="7">
        <v>2</v>
      </c>
      <c r="D232" s="8">
        <f>IFERROR(C232/'Owner Totals (Pivot)(Task 4)'!B38,"")</f>
        <v>0.66666666666666663</v>
      </c>
      <c r="E232" s="7">
        <v>1</v>
      </c>
      <c r="F232" s="7">
        <v>1</v>
      </c>
      <c r="G232" s="7">
        <v>0</v>
      </c>
      <c r="H232" s="8">
        <f t="shared" si="6"/>
        <v>0</v>
      </c>
      <c r="I232" s="23" t="s">
        <v>79</v>
      </c>
      <c r="K232">
        <f t="shared" si="7"/>
        <v>0.66666666666666663</v>
      </c>
    </row>
    <row r="233" spans="1:11" ht="15" customHeight="1" x14ac:dyDescent="0.25">
      <c r="A233" s="3" t="s">
        <v>52</v>
      </c>
      <c r="B233" s="4" t="s">
        <v>17</v>
      </c>
      <c r="C233" s="4">
        <v>1</v>
      </c>
      <c r="D233" s="5">
        <f>IFERROR(C233/'Owner Totals (Pivot)(Task 4)'!B38,"")</f>
        <v>0.33333333333333331</v>
      </c>
      <c r="E233" s="4">
        <v>0</v>
      </c>
      <c r="F233" s="4">
        <v>0</v>
      </c>
      <c r="G233" s="4">
        <v>0</v>
      </c>
      <c r="H233" s="5">
        <f t="shared" si="6"/>
        <v>0</v>
      </c>
      <c r="I233" s="4"/>
      <c r="K233">
        <f t="shared" si="7"/>
        <v>0.66666666666666663</v>
      </c>
    </row>
    <row r="234" spans="1:11" ht="15" customHeight="1" x14ac:dyDescent="0.25">
      <c r="A234" s="6" t="s">
        <v>53</v>
      </c>
      <c r="B234" s="7" t="s">
        <v>11</v>
      </c>
      <c r="C234" s="7">
        <v>16</v>
      </c>
      <c r="D234" s="8">
        <f>IFERROR(C234/'Owner Totals (Pivot)(Task 4)'!B39,"")</f>
        <v>5.1118210862619806E-2</v>
      </c>
      <c r="E234" s="7">
        <v>14</v>
      </c>
      <c r="F234" s="7">
        <v>11</v>
      </c>
      <c r="G234" s="7">
        <v>9</v>
      </c>
      <c r="H234" s="8">
        <f t="shared" si="6"/>
        <v>0.5625</v>
      </c>
      <c r="I234" s="23" t="s">
        <v>79</v>
      </c>
      <c r="K234">
        <f t="shared" si="7"/>
        <v>0.37380191693290737</v>
      </c>
    </row>
    <row r="235" spans="1:11" ht="15" customHeight="1" x14ac:dyDescent="0.25">
      <c r="A235" s="3" t="s">
        <v>53</v>
      </c>
      <c r="B235" s="4" t="s">
        <v>12</v>
      </c>
      <c r="C235" s="4">
        <v>48</v>
      </c>
      <c r="D235" s="5">
        <f>IFERROR(C235/'Owner Totals (Pivot)(Task 4)'!B39,"")</f>
        <v>0.15335463258785942</v>
      </c>
      <c r="E235" s="4">
        <v>40</v>
      </c>
      <c r="F235" s="4">
        <v>35</v>
      </c>
      <c r="G235" s="4">
        <v>28</v>
      </c>
      <c r="H235" s="5">
        <f t="shared" si="6"/>
        <v>0.58333333333333337</v>
      </c>
      <c r="I235" s="4"/>
      <c r="K235">
        <f t="shared" si="7"/>
        <v>0.37380191693290737</v>
      </c>
    </row>
    <row r="236" spans="1:11" ht="15" customHeight="1" x14ac:dyDescent="0.25">
      <c r="A236" s="6" t="s">
        <v>53</v>
      </c>
      <c r="B236" s="7" t="s">
        <v>13</v>
      </c>
      <c r="C236" s="7">
        <v>117</v>
      </c>
      <c r="D236" s="8">
        <f>IFERROR(C236/'Owner Totals (Pivot)(Task 4)'!B39,"")</f>
        <v>0.37380191693290737</v>
      </c>
      <c r="E236" s="7">
        <v>99</v>
      </c>
      <c r="F236" s="7">
        <v>84</v>
      </c>
      <c r="G236" s="7">
        <v>77</v>
      </c>
      <c r="H236" s="8">
        <f t="shared" si="6"/>
        <v>0.65811965811965811</v>
      </c>
      <c r="I236" s="7"/>
      <c r="K236">
        <f t="shared" si="7"/>
        <v>0.37380191693290737</v>
      </c>
    </row>
    <row r="237" spans="1:11" ht="15" customHeight="1" x14ac:dyDescent="0.25">
      <c r="A237" s="3" t="s">
        <v>53</v>
      </c>
      <c r="B237" s="4" t="s">
        <v>14</v>
      </c>
      <c r="C237" s="4">
        <v>57</v>
      </c>
      <c r="D237" s="5">
        <f>IFERROR(C237/'Owner Totals (Pivot)(Task 4)'!B39,"")</f>
        <v>0.18210862619808307</v>
      </c>
      <c r="E237" s="4">
        <v>48</v>
      </c>
      <c r="F237" s="4">
        <v>42</v>
      </c>
      <c r="G237" s="4">
        <v>43</v>
      </c>
      <c r="H237" s="5">
        <f t="shared" si="6"/>
        <v>0.75438596491228072</v>
      </c>
      <c r="I237" s="5"/>
      <c r="K237">
        <f t="shared" si="7"/>
        <v>0.37380191693290737</v>
      </c>
    </row>
    <row r="238" spans="1:11" ht="15" customHeight="1" x14ac:dyDescent="0.25">
      <c r="A238" s="6" t="s">
        <v>53</v>
      </c>
      <c r="B238" s="7" t="s">
        <v>15</v>
      </c>
      <c r="C238" s="7">
        <v>39</v>
      </c>
      <c r="D238" s="8">
        <f>IFERROR(C238/'Owner Totals (Pivot)(Task 4)'!B39,"")</f>
        <v>0.12460063897763578</v>
      </c>
      <c r="E238" s="7">
        <v>34</v>
      </c>
      <c r="F238" s="7">
        <v>31</v>
      </c>
      <c r="G238" s="7">
        <v>27</v>
      </c>
      <c r="H238" s="8">
        <f t="shared" si="6"/>
        <v>0.69230769230769229</v>
      </c>
      <c r="I238" s="7"/>
      <c r="K238">
        <f t="shared" si="7"/>
        <v>0.37380191693290737</v>
      </c>
    </row>
    <row r="239" spans="1:11" ht="15" customHeight="1" x14ac:dyDescent="0.25">
      <c r="A239" s="3" t="s">
        <v>53</v>
      </c>
      <c r="B239" s="4" t="s">
        <v>16</v>
      </c>
      <c r="C239" s="4">
        <v>15</v>
      </c>
      <c r="D239" s="5">
        <f>IFERROR(C239/'Owner Totals (Pivot)(Task 4)'!B39,"")</f>
        <v>4.7923322683706068E-2</v>
      </c>
      <c r="E239" s="4">
        <v>14</v>
      </c>
      <c r="F239" s="4">
        <v>13</v>
      </c>
      <c r="G239" s="4">
        <v>9</v>
      </c>
      <c r="H239" s="5">
        <f t="shared" si="6"/>
        <v>0.6</v>
      </c>
      <c r="I239" s="5"/>
      <c r="K239">
        <f t="shared" si="7"/>
        <v>0.37380191693290737</v>
      </c>
    </row>
    <row r="240" spans="1:11" ht="15" customHeight="1" x14ac:dyDescent="0.25">
      <c r="A240" s="6" t="s">
        <v>53</v>
      </c>
      <c r="B240" s="7" t="s">
        <v>17</v>
      </c>
      <c r="C240" s="7">
        <v>21</v>
      </c>
      <c r="D240" s="8">
        <f>IFERROR(C240/'Owner Totals (Pivot)(Task 4)'!B39,"")</f>
        <v>6.7092651757188496E-2</v>
      </c>
      <c r="E240" s="7">
        <v>19</v>
      </c>
      <c r="F240" s="7">
        <v>18</v>
      </c>
      <c r="G240" s="7">
        <v>16</v>
      </c>
      <c r="H240" s="8">
        <f t="shared" si="6"/>
        <v>0.76190476190476186</v>
      </c>
      <c r="I240" s="7"/>
      <c r="K240">
        <f t="shared" si="7"/>
        <v>0.37380191693290737</v>
      </c>
    </row>
    <row r="241" spans="1:11" ht="15" customHeight="1" x14ac:dyDescent="0.25">
      <c r="A241" s="3" t="s">
        <v>54</v>
      </c>
      <c r="B241" s="4" t="s">
        <v>11</v>
      </c>
      <c r="C241" s="4">
        <v>51</v>
      </c>
      <c r="D241" s="5">
        <f>IFERROR(C241/'Owner Totals (Pivot)(Task 4)'!B40,"")</f>
        <v>9.5149253731343281E-2</v>
      </c>
      <c r="E241" s="4">
        <v>40</v>
      </c>
      <c r="F241" s="4">
        <v>33</v>
      </c>
      <c r="G241" s="4">
        <v>27</v>
      </c>
      <c r="H241" s="5">
        <f t="shared" si="6"/>
        <v>0.52941176470588236</v>
      </c>
      <c r="I241" s="23" t="s">
        <v>79</v>
      </c>
      <c r="K241">
        <f t="shared" si="7"/>
        <v>0.39738805970149255</v>
      </c>
    </row>
    <row r="242" spans="1:11" ht="15" customHeight="1" x14ac:dyDescent="0.25">
      <c r="A242" s="6" t="s">
        <v>54</v>
      </c>
      <c r="B242" s="7" t="s">
        <v>12</v>
      </c>
      <c r="C242" s="7">
        <v>101</v>
      </c>
      <c r="D242" s="8">
        <f>IFERROR(C242/'Owner Totals (Pivot)(Task 4)'!B40,"")</f>
        <v>0.18843283582089551</v>
      </c>
      <c r="E242" s="7">
        <v>80</v>
      </c>
      <c r="F242" s="7">
        <v>67</v>
      </c>
      <c r="G242" s="7">
        <v>59</v>
      </c>
      <c r="H242" s="8">
        <f t="shared" si="6"/>
        <v>0.58415841584158412</v>
      </c>
      <c r="I242" s="7"/>
      <c r="K242">
        <f t="shared" si="7"/>
        <v>0.39738805970149255</v>
      </c>
    </row>
    <row r="243" spans="1:11" ht="15" customHeight="1" x14ac:dyDescent="0.25">
      <c r="A243" s="3" t="s">
        <v>54</v>
      </c>
      <c r="B243" s="4" t="s">
        <v>13</v>
      </c>
      <c r="C243" s="4">
        <v>213</v>
      </c>
      <c r="D243" s="5">
        <f>IFERROR(C243/'Owner Totals (Pivot)(Task 4)'!B40,"")</f>
        <v>0.39738805970149255</v>
      </c>
      <c r="E243" s="4">
        <v>182</v>
      </c>
      <c r="F243" s="4">
        <v>160</v>
      </c>
      <c r="G243" s="4">
        <v>136</v>
      </c>
      <c r="H243" s="5">
        <f t="shared" si="6"/>
        <v>0.63849765258215962</v>
      </c>
      <c r="I243" s="4"/>
      <c r="K243">
        <f t="shared" si="7"/>
        <v>0.39738805970149255</v>
      </c>
    </row>
    <row r="244" spans="1:11" ht="15" customHeight="1" x14ac:dyDescent="0.25">
      <c r="A244" s="6" t="s">
        <v>54</v>
      </c>
      <c r="B244" s="7" t="s">
        <v>14</v>
      </c>
      <c r="C244" s="7">
        <v>95</v>
      </c>
      <c r="D244" s="8">
        <f>IFERROR(C244/'Owner Totals (Pivot)(Task 4)'!B40,"")</f>
        <v>0.17723880597014927</v>
      </c>
      <c r="E244" s="7">
        <v>83</v>
      </c>
      <c r="F244" s="7">
        <v>72</v>
      </c>
      <c r="G244" s="7">
        <v>70</v>
      </c>
      <c r="H244" s="8">
        <f t="shared" si="6"/>
        <v>0.73684210526315785</v>
      </c>
      <c r="I244" s="7"/>
      <c r="K244">
        <f t="shared" si="7"/>
        <v>0.39738805970149255</v>
      </c>
    </row>
    <row r="245" spans="1:11" ht="15" customHeight="1" x14ac:dyDescent="0.25">
      <c r="A245" s="3" t="s">
        <v>54</v>
      </c>
      <c r="B245" s="4" t="s">
        <v>15</v>
      </c>
      <c r="C245" s="4">
        <v>52</v>
      </c>
      <c r="D245" s="5">
        <f>IFERROR(C245/'Owner Totals (Pivot)(Task 4)'!B40,"")</f>
        <v>9.7014925373134331E-2</v>
      </c>
      <c r="E245" s="4">
        <v>52</v>
      </c>
      <c r="F245" s="4">
        <v>49</v>
      </c>
      <c r="G245" s="4">
        <v>45</v>
      </c>
      <c r="H245" s="5">
        <f t="shared" si="6"/>
        <v>0.86538461538461542</v>
      </c>
      <c r="I245" s="4"/>
      <c r="K245">
        <f t="shared" si="7"/>
        <v>0.39738805970149255</v>
      </c>
    </row>
    <row r="246" spans="1:11" ht="15" customHeight="1" x14ac:dyDescent="0.25">
      <c r="A246" s="6" t="s">
        <v>54</v>
      </c>
      <c r="B246" s="7" t="s">
        <v>16</v>
      </c>
      <c r="C246" s="7">
        <v>14</v>
      </c>
      <c r="D246" s="8">
        <f>IFERROR(C246/'Owner Totals (Pivot)(Task 4)'!B40,"")</f>
        <v>2.6119402985074626E-2</v>
      </c>
      <c r="E246" s="7">
        <v>12</v>
      </c>
      <c r="F246" s="7">
        <v>11</v>
      </c>
      <c r="G246" s="7">
        <v>10</v>
      </c>
      <c r="H246" s="8">
        <f t="shared" si="6"/>
        <v>0.7142857142857143</v>
      </c>
      <c r="I246" s="7"/>
      <c r="K246">
        <f t="shared" si="7"/>
        <v>0.39738805970149255</v>
      </c>
    </row>
    <row r="247" spans="1:11" ht="15" customHeight="1" x14ac:dyDescent="0.25">
      <c r="A247" s="3" t="s">
        <v>54</v>
      </c>
      <c r="B247" s="4" t="s">
        <v>17</v>
      </c>
      <c r="C247" s="4">
        <v>10</v>
      </c>
      <c r="D247" s="5">
        <f>IFERROR(C247/'Owner Totals (Pivot)(Task 4)'!B40,"")</f>
        <v>1.8656716417910446E-2</v>
      </c>
      <c r="E247" s="4">
        <v>9</v>
      </c>
      <c r="F247" s="4">
        <v>9</v>
      </c>
      <c r="G247" s="4">
        <v>9</v>
      </c>
      <c r="H247" s="5">
        <f t="shared" si="6"/>
        <v>0.9</v>
      </c>
      <c r="I247" s="4"/>
      <c r="K247">
        <f t="shared" si="7"/>
        <v>0.39738805970149255</v>
      </c>
    </row>
    <row r="248" spans="1:11" ht="15" customHeight="1" x14ac:dyDescent="0.25">
      <c r="A248" s="6" t="s">
        <v>55</v>
      </c>
      <c r="B248" s="7" t="s">
        <v>11</v>
      </c>
      <c r="C248" s="7">
        <v>11</v>
      </c>
      <c r="D248" s="8">
        <f>IFERROR(C248/'Owner Totals (Pivot)(Task 4)'!B41,"")</f>
        <v>6.7901234567901231E-2</v>
      </c>
      <c r="E248" s="7">
        <v>9</v>
      </c>
      <c r="F248" s="7">
        <v>8</v>
      </c>
      <c r="G248" s="7">
        <v>6</v>
      </c>
      <c r="H248" s="8">
        <f t="shared" si="6"/>
        <v>0.54545454545454541</v>
      </c>
      <c r="I248" s="23" t="s">
        <v>79</v>
      </c>
      <c r="K248">
        <f t="shared" si="7"/>
        <v>0.41358024691358025</v>
      </c>
    </row>
    <row r="249" spans="1:11" ht="15" customHeight="1" x14ac:dyDescent="0.25">
      <c r="A249" s="3" t="s">
        <v>55</v>
      </c>
      <c r="B249" s="4" t="s">
        <v>12</v>
      </c>
      <c r="C249" s="4">
        <v>24</v>
      </c>
      <c r="D249" s="5">
        <f>IFERROR(C249/'Owner Totals (Pivot)(Task 4)'!B41,"")</f>
        <v>0.14814814814814814</v>
      </c>
      <c r="E249" s="4">
        <v>21</v>
      </c>
      <c r="F249" s="4">
        <v>18</v>
      </c>
      <c r="G249" s="4">
        <v>15</v>
      </c>
      <c r="H249" s="5">
        <f t="shared" si="6"/>
        <v>0.625</v>
      </c>
      <c r="I249" s="4"/>
      <c r="K249">
        <f t="shared" si="7"/>
        <v>0.41358024691358025</v>
      </c>
    </row>
    <row r="250" spans="1:11" ht="15" customHeight="1" x14ac:dyDescent="0.25">
      <c r="A250" s="6" t="s">
        <v>55</v>
      </c>
      <c r="B250" s="7" t="s">
        <v>13</v>
      </c>
      <c r="C250" s="7">
        <v>67</v>
      </c>
      <c r="D250" s="8">
        <f>IFERROR(C250/'Owner Totals (Pivot)(Task 4)'!B41,"")</f>
        <v>0.41358024691358025</v>
      </c>
      <c r="E250" s="7">
        <v>61</v>
      </c>
      <c r="F250" s="7">
        <v>53</v>
      </c>
      <c r="G250" s="7">
        <v>47</v>
      </c>
      <c r="H250" s="8">
        <f t="shared" si="6"/>
        <v>0.70149253731343286</v>
      </c>
      <c r="I250" s="7"/>
      <c r="K250">
        <f t="shared" si="7"/>
        <v>0.41358024691358025</v>
      </c>
    </row>
    <row r="251" spans="1:11" ht="15" customHeight="1" x14ac:dyDescent="0.25">
      <c r="A251" s="3" t="s">
        <v>55</v>
      </c>
      <c r="B251" s="4" t="s">
        <v>14</v>
      </c>
      <c r="C251" s="4">
        <v>29</v>
      </c>
      <c r="D251" s="5">
        <f>IFERROR(C251/'Owner Totals (Pivot)(Task 4)'!B41,"")</f>
        <v>0.17901234567901234</v>
      </c>
      <c r="E251" s="4">
        <v>29</v>
      </c>
      <c r="F251" s="4">
        <v>26</v>
      </c>
      <c r="G251" s="4">
        <v>26</v>
      </c>
      <c r="H251" s="5">
        <f t="shared" si="6"/>
        <v>0.89655172413793105</v>
      </c>
      <c r="I251" s="4"/>
      <c r="K251">
        <f t="shared" si="7"/>
        <v>0.41358024691358025</v>
      </c>
    </row>
    <row r="252" spans="1:11" ht="15" customHeight="1" x14ac:dyDescent="0.25">
      <c r="A252" s="6" t="s">
        <v>55</v>
      </c>
      <c r="B252" s="7" t="s">
        <v>15</v>
      </c>
      <c r="C252" s="7">
        <v>17</v>
      </c>
      <c r="D252" s="8">
        <f>IFERROR(C252/'Owner Totals (Pivot)(Task 4)'!B41,"")</f>
        <v>0.10493827160493827</v>
      </c>
      <c r="E252" s="7">
        <v>17</v>
      </c>
      <c r="F252" s="7">
        <v>15</v>
      </c>
      <c r="G252" s="7">
        <v>13</v>
      </c>
      <c r="H252" s="8">
        <f t="shared" si="6"/>
        <v>0.76470588235294112</v>
      </c>
      <c r="I252" s="7"/>
      <c r="K252">
        <f t="shared" si="7"/>
        <v>0.41358024691358025</v>
      </c>
    </row>
    <row r="253" spans="1:11" ht="15" customHeight="1" x14ac:dyDescent="0.25">
      <c r="A253" s="3" t="s">
        <v>55</v>
      </c>
      <c r="B253" s="4" t="s">
        <v>16</v>
      </c>
      <c r="C253" s="4">
        <v>7</v>
      </c>
      <c r="D253" s="5">
        <f>IFERROR(C253/'Owner Totals (Pivot)(Task 4)'!B41,"")</f>
        <v>4.3209876543209874E-2</v>
      </c>
      <c r="E253" s="4">
        <v>7</v>
      </c>
      <c r="F253" s="4">
        <v>6</v>
      </c>
      <c r="G253" s="4">
        <v>6</v>
      </c>
      <c r="H253" s="5">
        <f t="shared" si="6"/>
        <v>0.8571428571428571</v>
      </c>
      <c r="I253" s="4"/>
      <c r="K253">
        <f t="shared" si="7"/>
        <v>0.41358024691358025</v>
      </c>
    </row>
    <row r="254" spans="1:11" ht="15" customHeight="1" x14ac:dyDescent="0.25">
      <c r="A254" s="6" t="s">
        <v>55</v>
      </c>
      <c r="B254" s="7" t="s">
        <v>17</v>
      </c>
      <c r="C254" s="7">
        <v>7</v>
      </c>
      <c r="D254" s="8">
        <f>IFERROR(C254/'Owner Totals (Pivot)(Task 4)'!B41,"")</f>
        <v>4.3209876543209874E-2</v>
      </c>
      <c r="E254" s="7">
        <v>6</v>
      </c>
      <c r="F254" s="7">
        <v>5</v>
      </c>
      <c r="G254" s="7">
        <v>5</v>
      </c>
      <c r="H254" s="8">
        <f t="shared" si="6"/>
        <v>0.7142857142857143</v>
      </c>
      <c r="I254" s="7"/>
      <c r="K254">
        <f t="shared" si="7"/>
        <v>0.41358024691358025</v>
      </c>
    </row>
    <row r="255" spans="1:11" ht="15" customHeight="1" x14ac:dyDescent="0.25">
      <c r="A255" s="3" t="s">
        <v>56</v>
      </c>
      <c r="B255" s="4" t="s">
        <v>11</v>
      </c>
      <c r="C255" s="4">
        <v>8</v>
      </c>
      <c r="D255" s="5">
        <f>IFERROR(C255/'Owner Totals (Pivot)(Task 4)'!B42,"")</f>
        <v>0.16666666666666666</v>
      </c>
      <c r="E255" s="4">
        <v>5</v>
      </c>
      <c r="F255" s="4">
        <v>5</v>
      </c>
      <c r="G255" s="4">
        <v>4</v>
      </c>
      <c r="H255" s="5">
        <f t="shared" si="6"/>
        <v>0.5</v>
      </c>
      <c r="I255" s="23" t="s">
        <v>79</v>
      </c>
      <c r="K255">
        <f t="shared" si="7"/>
        <v>0.27083333333333331</v>
      </c>
    </row>
    <row r="256" spans="1:11" ht="15" customHeight="1" x14ac:dyDescent="0.25">
      <c r="A256" s="6" t="s">
        <v>56</v>
      </c>
      <c r="B256" s="7" t="s">
        <v>12</v>
      </c>
      <c r="C256" s="7">
        <v>11</v>
      </c>
      <c r="D256" s="8">
        <f>IFERROR(C256/'Owner Totals (Pivot)(Task 4)'!B42,"")</f>
        <v>0.22916666666666666</v>
      </c>
      <c r="E256" s="7">
        <v>6</v>
      </c>
      <c r="F256" s="7">
        <v>5</v>
      </c>
      <c r="G256" s="7">
        <v>4</v>
      </c>
      <c r="H256" s="8">
        <f t="shared" si="6"/>
        <v>0.36363636363636365</v>
      </c>
      <c r="I256" s="7"/>
      <c r="K256">
        <f t="shared" si="7"/>
        <v>0.27083333333333331</v>
      </c>
    </row>
    <row r="257" spans="1:11" ht="15" customHeight="1" x14ac:dyDescent="0.25">
      <c r="A257" s="3" t="s">
        <v>56</v>
      </c>
      <c r="B257" s="4" t="s">
        <v>13</v>
      </c>
      <c r="C257" s="4">
        <v>13</v>
      </c>
      <c r="D257" s="5">
        <f>IFERROR(C257/'Owner Totals (Pivot)(Task 4)'!B42,"")</f>
        <v>0.27083333333333331</v>
      </c>
      <c r="E257" s="4">
        <v>11</v>
      </c>
      <c r="F257" s="4">
        <v>10</v>
      </c>
      <c r="G257" s="4">
        <v>9</v>
      </c>
      <c r="H257" s="5">
        <f t="shared" si="6"/>
        <v>0.69230769230769229</v>
      </c>
      <c r="I257" s="4"/>
      <c r="K257">
        <f t="shared" si="7"/>
        <v>0.27083333333333331</v>
      </c>
    </row>
    <row r="258" spans="1:11" ht="15" customHeight="1" x14ac:dyDescent="0.25">
      <c r="A258" s="6" t="s">
        <v>56</v>
      </c>
      <c r="B258" s="7" t="s">
        <v>14</v>
      </c>
      <c r="C258" s="7">
        <v>5</v>
      </c>
      <c r="D258" s="8">
        <f>IFERROR(C258/'Owner Totals (Pivot)(Task 4)'!B42,"")</f>
        <v>0.10416666666666667</v>
      </c>
      <c r="E258" s="7">
        <v>5</v>
      </c>
      <c r="F258" s="7">
        <v>4</v>
      </c>
      <c r="G258" s="7">
        <v>4</v>
      </c>
      <c r="H258" s="8">
        <f t="shared" si="6"/>
        <v>0.8</v>
      </c>
      <c r="I258" s="7"/>
      <c r="K258">
        <f t="shared" si="7"/>
        <v>0.27083333333333331</v>
      </c>
    </row>
    <row r="259" spans="1:11" ht="15" customHeight="1" x14ac:dyDescent="0.25">
      <c r="A259" s="3" t="s">
        <v>56</v>
      </c>
      <c r="B259" s="4" t="s">
        <v>15</v>
      </c>
      <c r="C259" s="4">
        <v>7</v>
      </c>
      <c r="D259" s="5">
        <f>IFERROR(C259/'Owner Totals (Pivot)(Task 4)'!B42,"")</f>
        <v>0.14583333333333334</v>
      </c>
      <c r="E259" s="4">
        <v>6</v>
      </c>
      <c r="F259" s="4">
        <v>6</v>
      </c>
      <c r="G259" s="4">
        <v>6</v>
      </c>
      <c r="H259" s="5">
        <f t="shared" ref="H259:H274" si="8">IFERROR(G259/C259,"")</f>
        <v>0.8571428571428571</v>
      </c>
      <c r="I259" s="4"/>
      <c r="K259">
        <f t="shared" ref="K259:K274" si="9">SUMPRODUCT(MAX(($A$4:$A$274=A259)*$D$4:$D$274))</f>
        <v>0.27083333333333331</v>
      </c>
    </row>
    <row r="260" spans="1:11" ht="15" customHeight="1" x14ac:dyDescent="0.25">
      <c r="A260" s="6" t="s">
        <v>56</v>
      </c>
      <c r="B260" s="7" t="s">
        <v>16</v>
      </c>
      <c r="C260" s="7">
        <v>4</v>
      </c>
      <c r="D260" s="8">
        <f>IFERROR(C260/'Owner Totals (Pivot)(Task 4)'!B42,"")</f>
        <v>8.3333333333333329E-2</v>
      </c>
      <c r="E260" s="7">
        <v>4</v>
      </c>
      <c r="F260" s="7">
        <v>2</v>
      </c>
      <c r="G260" s="7">
        <v>1</v>
      </c>
      <c r="H260" s="8">
        <f t="shared" si="8"/>
        <v>0.25</v>
      </c>
      <c r="I260" s="7"/>
      <c r="K260">
        <f t="shared" si="9"/>
        <v>0.27083333333333331</v>
      </c>
    </row>
    <row r="261" spans="1:11" ht="15" customHeight="1" x14ac:dyDescent="0.25">
      <c r="A261" s="3" t="s">
        <v>57</v>
      </c>
      <c r="B261" s="4" t="s">
        <v>11</v>
      </c>
      <c r="C261" s="4">
        <v>65</v>
      </c>
      <c r="D261" s="5">
        <f>IFERROR(C261/'Owner Totals (Pivot)(Task 4)'!B43,"")</f>
        <v>0.22727272727272727</v>
      </c>
      <c r="E261" s="4">
        <v>47</v>
      </c>
      <c r="F261" s="4">
        <v>41</v>
      </c>
      <c r="G261" s="4">
        <v>33</v>
      </c>
      <c r="H261" s="5">
        <f t="shared" si="8"/>
        <v>0.50769230769230766</v>
      </c>
      <c r="I261" s="23" t="s">
        <v>79</v>
      </c>
      <c r="K261">
        <f t="shared" si="9"/>
        <v>0.25174825174825177</v>
      </c>
    </row>
    <row r="262" spans="1:11" ht="15" customHeight="1" x14ac:dyDescent="0.25">
      <c r="A262" s="6" t="s">
        <v>57</v>
      </c>
      <c r="B262" s="7" t="s">
        <v>12</v>
      </c>
      <c r="C262" s="7">
        <v>52</v>
      </c>
      <c r="D262" s="8">
        <f>IFERROR(C262/'Owner Totals (Pivot)(Task 4)'!B43,"")</f>
        <v>0.18181818181818182</v>
      </c>
      <c r="E262" s="7">
        <v>43</v>
      </c>
      <c r="F262" s="7">
        <v>38</v>
      </c>
      <c r="G262" s="7">
        <v>30</v>
      </c>
      <c r="H262" s="8">
        <f t="shared" si="8"/>
        <v>0.57692307692307687</v>
      </c>
      <c r="I262" s="7"/>
      <c r="K262">
        <f t="shared" si="9"/>
        <v>0.25174825174825177</v>
      </c>
    </row>
    <row r="263" spans="1:11" ht="15" customHeight="1" x14ac:dyDescent="0.25">
      <c r="A263" s="3" t="s">
        <v>57</v>
      </c>
      <c r="B263" s="4" t="s">
        <v>13</v>
      </c>
      <c r="C263" s="4">
        <v>72</v>
      </c>
      <c r="D263" s="5">
        <f>IFERROR(C263/'Owner Totals (Pivot)(Task 4)'!B43,"")</f>
        <v>0.25174825174825177</v>
      </c>
      <c r="E263" s="4">
        <v>63</v>
      </c>
      <c r="F263" s="4">
        <v>50</v>
      </c>
      <c r="G263" s="4">
        <v>46</v>
      </c>
      <c r="H263" s="5">
        <f t="shared" si="8"/>
        <v>0.63888888888888884</v>
      </c>
      <c r="I263" s="4"/>
      <c r="K263">
        <f t="shared" si="9"/>
        <v>0.25174825174825177</v>
      </c>
    </row>
    <row r="264" spans="1:11" ht="15" customHeight="1" x14ac:dyDescent="0.25">
      <c r="A264" s="6" t="s">
        <v>57</v>
      </c>
      <c r="B264" s="7" t="s">
        <v>14</v>
      </c>
      <c r="C264" s="7">
        <v>53</v>
      </c>
      <c r="D264" s="8">
        <f>IFERROR(C264/'Owner Totals (Pivot)(Task 4)'!B43,"")</f>
        <v>0.18531468531468531</v>
      </c>
      <c r="E264" s="7">
        <v>44</v>
      </c>
      <c r="F264" s="7">
        <v>40</v>
      </c>
      <c r="G264" s="7">
        <v>35</v>
      </c>
      <c r="H264" s="8">
        <f t="shared" si="8"/>
        <v>0.660377358490566</v>
      </c>
      <c r="I264" s="7"/>
      <c r="K264">
        <f t="shared" si="9"/>
        <v>0.25174825174825177</v>
      </c>
    </row>
    <row r="265" spans="1:11" ht="15" customHeight="1" x14ac:dyDescent="0.25">
      <c r="A265" s="3" t="s">
        <v>57</v>
      </c>
      <c r="B265" s="4" t="s">
        <v>15</v>
      </c>
      <c r="C265" s="4">
        <v>28</v>
      </c>
      <c r="D265" s="5">
        <f>IFERROR(C265/'Owner Totals (Pivot)(Task 4)'!B43,"")</f>
        <v>9.7902097902097904E-2</v>
      </c>
      <c r="E265" s="4">
        <v>26</v>
      </c>
      <c r="F265" s="4">
        <v>25</v>
      </c>
      <c r="G265" s="4">
        <v>25</v>
      </c>
      <c r="H265" s="5">
        <f t="shared" si="8"/>
        <v>0.8928571428571429</v>
      </c>
      <c r="I265" s="4"/>
      <c r="K265">
        <f t="shared" si="9"/>
        <v>0.25174825174825177</v>
      </c>
    </row>
    <row r="266" spans="1:11" ht="15" customHeight="1" x14ac:dyDescent="0.25">
      <c r="A266" s="6" t="s">
        <v>57</v>
      </c>
      <c r="B266" s="7" t="s">
        <v>16</v>
      </c>
      <c r="C266" s="7">
        <v>7</v>
      </c>
      <c r="D266" s="8">
        <f>IFERROR(C266/'Owner Totals (Pivot)(Task 4)'!B43,"")</f>
        <v>2.4475524475524476E-2</v>
      </c>
      <c r="E266" s="7">
        <v>7</v>
      </c>
      <c r="F266" s="7">
        <v>6</v>
      </c>
      <c r="G266" s="7">
        <v>5</v>
      </c>
      <c r="H266" s="8">
        <f t="shared" si="8"/>
        <v>0.7142857142857143</v>
      </c>
      <c r="I266" s="7"/>
      <c r="K266">
        <f t="shared" si="9"/>
        <v>0.25174825174825177</v>
      </c>
    </row>
    <row r="267" spans="1:11" ht="15" customHeight="1" x14ac:dyDescent="0.25">
      <c r="A267" s="3" t="s">
        <v>57</v>
      </c>
      <c r="B267" s="4" t="s">
        <v>17</v>
      </c>
      <c r="C267" s="4">
        <v>9</v>
      </c>
      <c r="D267" s="5">
        <f>IFERROR(C267/'Owner Totals (Pivot)(Task 4)'!B43,"")</f>
        <v>3.1468531468531472E-2</v>
      </c>
      <c r="E267" s="4">
        <v>8</v>
      </c>
      <c r="F267" s="4">
        <v>8</v>
      </c>
      <c r="G267" s="4">
        <v>8</v>
      </c>
      <c r="H267" s="5">
        <f t="shared" si="8"/>
        <v>0.88888888888888884</v>
      </c>
      <c r="I267" s="4"/>
      <c r="K267">
        <f t="shared" si="9"/>
        <v>0.25174825174825177</v>
      </c>
    </row>
    <row r="268" spans="1:11" ht="15" customHeight="1" x14ac:dyDescent="0.25">
      <c r="A268" s="6" t="s">
        <v>58</v>
      </c>
      <c r="B268" s="7" t="s">
        <v>11</v>
      </c>
      <c r="C268" s="7">
        <v>81</v>
      </c>
      <c r="D268" s="8">
        <f>IFERROR(C268/'Owner Totals (Pivot)(Task 4)'!B44,"")</f>
        <v>0.22437673130193905</v>
      </c>
      <c r="E268" s="7">
        <v>70</v>
      </c>
      <c r="F268" s="7">
        <v>55</v>
      </c>
      <c r="G268" s="7">
        <v>44</v>
      </c>
      <c r="H268" s="8">
        <f t="shared" si="8"/>
        <v>0.54320987654320985</v>
      </c>
      <c r="I268" s="23" t="s">
        <v>79</v>
      </c>
      <c r="K268">
        <f t="shared" si="9"/>
        <v>0.27977839335180055</v>
      </c>
    </row>
    <row r="269" spans="1:11" ht="15" customHeight="1" x14ac:dyDescent="0.25">
      <c r="A269" s="3" t="s">
        <v>58</v>
      </c>
      <c r="B269" s="4" t="s">
        <v>12</v>
      </c>
      <c r="C269" s="4">
        <v>52</v>
      </c>
      <c r="D269" s="5">
        <f>IFERROR(C269/'Owner Totals (Pivot)(Task 4)'!B44,"")</f>
        <v>0.1440443213296399</v>
      </c>
      <c r="E269" s="4">
        <v>36</v>
      </c>
      <c r="F269" s="4">
        <v>30</v>
      </c>
      <c r="G269" s="4">
        <v>24</v>
      </c>
      <c r="H269" s="5">
        <f t="shared" si="8"/>
        <v>0.46153846153846156</v>
      </c>
      <c r="I269" s="4"/>
      <c r="K269">
        <f t="shared" si="9"/>
        <v>0.27977839335180055</v>
      </c>
    </row>
    <row r="270" spans="1:11" ht="15" customHeight="1" x14ac:dyDescent="0.25">
      <c r="A270" s="6" t="s">
        <v>58</v>
      </c>
      <c r="B270" s="7" t="s">
        <v>13</v>
      </c>
      <c r="C270" s="7">
        <v>101</v>
      </c>
      <c r="D270" s="8">
        <f>IFERROR(C270/'Owner Totals (Pivot)(Task 4)'!B44,"")</f>
        <v>0.27977839335180055</v>
      </c>
      <c r="E270" s="7">
        <v>79</v>
      </c>
      <c r="F270" s="7">
        <v>64</v>
      </c>
      <c r="G270" s="7">
        <v>47</v>
      </c>
      <c r="H270" s="8">
        <f t="shared" si="8"/>
        <v>0.46534653465346537</v>
      </c>
      <c r="I270" s="7"/>
      <c r="K270">
        <f t="shared" si="9"/>
        <v>0.27977839335180055</v>
      </c>
    </row>
    <row r="271" spans="1:11" ht="15" customHeight="1" x14ac:dyDescent="0.25">
      <c r="A271" s="3" t="s">
        <v>58</v>
      </c>
      <c r="B271" s="4" t="s">
        <v>14</v>
      </c>
      <c r="C271" s="4">
        <v>66</v>
      </c>
      <c r="D271" s="5">
        <f>IFERROR(C271/'Owner Totals (Pivot)(Task 4)'!B44,"")</f>
        <v>0.18282548476454294</v>
      </c>
      <c r="E271" s="4">
        <v>52</v>
      </c>
      <c r="F271" s="4">
        <v>44</v>
      </c>
      <c r="G271" s="4">
        <v>41</v>
      </c>
      <c r="H271" s="5">
        <f t="shared" si="8"/>
        <v>0.62121212121212122</v>
      </c>
      <c r="I271" s="4"/>
      <c r="K271">
        <f t="shared" si="9"/>
        <v>0.27977839335180055</v>
      </c>
    </row>
    <row r="272" spans="1:11" ht="15" customHeight="1" x14ac:dyDescent="0.25">
      <c r="A272" s="6" t="s">
        <v>58</v>
      </c>
      <c r="B272" s="7" t="s">
        <v>15</v>
      </c>
      <c r="C272" s="7">
        <v>24</v>
      </c>
      <c r="D272" s="8">
        <f>IFERROR(C272/'Owner Totals (Pivot)(Task 4)'!B44,"")</f>
        <v>6.6481994459833799E-2</v>
      </c>
      <c r="E272" s="7">
        <v>23</v>
      </c>
      <c r="F272" s="7">
        <v>22</v>
      </c>
      <c r="G272" s="7">
        <v>21</v>
      </c>
      <c r="H272" s="8">
        <f t="shared" si="8"/>
        <v>0.875</v>
      </c>
      <c r="I272" s="7"/>
      <c r="K272">
        <f t="shared" si="9"/>
        <v>0.27977839335180055</v>
      </c>
    </row>
    <row r="273" spans="1:11" ht="15" customHeight="1" x14ac:dyDescent="0.25">
      <c r="A273" s="3" t="s">
        <v>58</v>
      </c>
      <c r="B273" s="4" t="s">
        <v>16</v>
      </c>
      <c r="C273" s="4">
        <v>11</v>
      </c>
      <c r="D273" s="5">
        <f>IFERROR(C273/'Owner Totals (Pivot)(Task 4)'!B44,"")</f>
        <v>3.0470914127423823E-2</v>
      </c>
      <c r="E273" s="4">
        <v>10</v>
      </c>
      <c r="F273" s="4">
        <v>9</v>
      </c>
      <c r="G273" s="4">
        <v>10</v>
      </c>
      <c r="H273" s="5">
        <f t="shared" si="8"/>
        <v>0.90909090909090906</v>
      </c>
      <c r="I273" s="4"/>
      <c r="K273">
        <f t="shared" si="9"/>
        <v>0.27977839335180055</v>
      </c>
    </row>
    <row r="274" spans="1:11" ht="15" customHeight="1" x14ac:dyDescent="0.25">
      <c r="A274" s="6" t="s">
        <v>58</v>
      </c>
      <c r="B274" s="7" t="s">
        <v>17</v>
      </c>
      <c r="C274" s="7">
        <v>26</v>
      </c>
      <c r="D274" s="8">
        <f>IFERROR(C274/'Owner Totals (Pivot)(Task 4)'!B44,"")</f>
        <v>7.2022160664819951E-2</v>
      </c>
      <c r="E274" s="7">
        <v>25</v>
      </c>
      <c r="F274" s="7">
        <v>18</v>
      </c>
      <c r="G274" s="7">
        <v>17</v>
      </c>
      <c r="H274" s="8">
        <f t="shared" si="8"/>
        <v>0.65384615384615385</v>
      </c>
      <c r="I274" s="7"/>
      <c r="K274">
        <f t="shared" si="9"/>
        <v>0.27977839335180055</v>
      </c>
    </row>
    <row r="276" spans="1:11" x14ac:dyDescent="0.25">
      <c r="A276" s="32" t="str">
        <f>"Overall average Debit 3% is "&amp;TEXT(K1,"0.0%")&amp;". Rows highlighted in red fall below this benchmark within the 25-27 age group and may need closer follow-up."</f>
        <v>Overall average Debit 3% is 69.8%. Rows highlighted in red fall below this benchmark within the 25-27 age group and may need closer follow-up.</v>
      </c>
      <c r="B276" s="32"/>
      <c r="C276" s="32"/>
      <c r="D276" s="32"/>
      <c r="E276" s="32"/>
      <c r="F276" s="32"/>
      <c r="G276" s="32"/>
      <c r="H276" s="32"/>
      <c r="I276" s="32"/>
    </row>
    <row r="277" spans="1:11" ht="65.25" customHeight="1" x14ac:dyDescent="0.25">
      <c r="A277" s="33" t="s">
        <v>78</v>
      </c>
      <c r="B277" s="32"/>
      <c r="C277" s="32"/>
      <c r="D277" s="32"/>
      <c r="E277" s="32"/>
      <c r="F277" s="32"/>
      <c r="G277" s="32"/>
      <c r="H277" s="32"/>
      <c r="I277" s="32"/>
    </row>
  </sheetData>
  <mergeCells count="3">
    <mergeCell ref="A1:I1"/>
    <mergeCell ref="A276:I276"/>
    <mergeCell ref="A277:I277"/>
  </mergeCells>
  <conditionalFormatting sqref="D3:D274">
    <cfRule type="expression" dxfId="1" priority="1">
      <formula>ROUND(D3,4)=ROUND(K3,4)</formula>
    </cfRule>
  </conditionalFormatting>
  <conditionalFormatting sqref="H3:H274">
    <cfRule type="expression" dxfId="0" priority="5">
      <formula>AND($B3="25-27",H3&lt;0.8,H3&lt;&gt;"")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zoomScaleNormal="100" workbookViewId="0">
      <selection activeCell="E75" sqref="E75"/>
    </sheetView>
  </sheetViews>
  <sheetFormatPr defaultColWidth="8.7109375" defaultRowHeight="15" x14ac:dyDescent="0.25"/>
  <cols>
    <col min="1" max="1" width="22" customWidth="1"/>
    <col min="2" max="2" width="20.42578125" customWidth="1"/>
    <col min="3" max="3" width="16.42578125" customWidth="1"/>
    <col min="4" max="4" width="18.28515625" customWidth="1"/>
    <col min="5" max="5" width="17.5703125" customWidth="1"/>
    <col min="6" max="6" width="22.28515625" customWidth="1"/>
    <col min="7" max="7" width="14.85546875" customWidth="1"/>
  </cols>
  <sheetData>
    <row r="1" spans="1:7" ht="27.75" customHeight="1" x14ac:dyDescent="0.25">
      <c r="A1" s="31" t="s">
        <v>59</v>
      </c>
      <c r="B1" s="31"/>
      <c r="C1" s="31"/>
      <c r="D1" s="31"/>
      <c r="E1" s="31"/>
      <c r="F1" s="31"/>
      <c r="G1" s="31"/>
    </row>
    <row r="2" spans="1:7" ht="15" customHeight="1" x14ac:dyDescent="0.25">
      <c r="A2" s="34" t="s">
        <v>60</v>
      </c>
      <c r="B2" s="34"/>
      <c r="C2" s="34"/>
      <c r="D2" s="34"/>
      <c r="E2" s="34"/>
      <c r="F2" s="34"/>
      <c r="G2" s="34"/>
    </row>
    <row r="3" spans="1:7" ht="19.5" customHeight="1" x14ac:dyDescent="0.25">
      <c r="A3" s="2" t="s">
        <v>1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</row>
    <row r="4" spans="1:7" ht="15" customHeight="1" x14ac:dyDescent="0.25">
      <c r="A4" s="6" t="s">
        <v>10</v>
      </c>
      <c r="B4" s="9">
        <f>SUMIF('Donor Data (Task 1,2,3,4, 6)'!$A$4:$A$274,A4,'Donor Data (Task 1,2,3,4, 6)'!$C$4:$C$274)</f>
        <v>236</v>
      </c>
      <c r="C4" s="9">
        <f>SUMIF('Donor Data (Task 1,2,3,4, 6)'!$A$4:$A$274,A4,'Donor Data (Task 1,2,3,4, 6)'!$E$4:$E$274)</f>
        <v>215</v>
      </c>
      <c r="D4" s="9">
        <f>SUMIF('Donor Data (Task 1,2,3,4, 6)'!$A$4:$A$274,A4,'Donor Data (Task 1,2,3,4, 6)'!$F$4:$F$274)</f>
        <v>188</v>
      </c>
      <c r="E4" s="9">
        <f>SUMIF('Donor Data (Task 1,2,3,4, 6)'!$A$4:$A$274,A4,'Donor Data (Task 1,2,3,4, 6)'!$G$4:$G$274)</f>
        <v>183</v>
      </c>
      <c r="F4" s="10">
        <f t="shared" ref="F4:F45" si="0">IFERROR(E4/B4,"")</f>
        <v>0.77542372881355937</v>
      </c>
      <c r="G4" s="9">
        <f t="shared" ref="G4:G44" si="1">RANK(B4,$B$4:$B$44)</f>
        <v>18</v>
      </c>
    </row>
    <row r="5" spans="1:7" ht="15" customHeight="1" x14ac:dyDescent="0.25">
      <c r="A5" s="3" t="s">
        <v>19</v>
      </c>
      <c r="B5" s="11">
        <f>SUMIF('Donor Data (Task 1,2,3,4, 6)'!$A$4:$A$274,A5,'Donor Data (Task 1,2,3,4, 6)'!$C$4:$C$274)</f>
        <v>114</v>
      </c>
      <c r="C5" s="11">
        <f>SUMIF('Donor Data (Task 1,2,3,4, 6)'!$A$4:$A$274,A5,'Donor Data (Task 1,2,3,4, 6)'!$E$4:$E$274)</f>
        <v>93</v>
      </c>
      <c r="D5" s="11">
        <f>SUMIF('Donor Data (Task 1,2,3,4, 6)'!$A$4:$A$274,A5,'Donor Data (Task 1,2,3,4, 6)'!$F$4:$F$274)</f>
        <v>76</v>
      </c>
      <c r="E5" s="11">
        <f>SUMIF('Donor Data (Task 1,2,3,4, 6)'!$A$4:$A$274,A5,'Donor Data (Task 1,2,3,4, 6)'!$G$4:$G$274)</f>
        <v>65</v>
      </c>
      <c r="F5" s="12">
        <f t="shared" si="0"/>
        <v>0.57017543859649122</v>
      </c>
      <c r="G5" s="11">
        <f t="shared" si="1"/>
        <v>28</v>
      </c>
    </row>
    <row r="6" spans="1:7" ht="15" customHeight="1" x14ac:dyDescent="0.25">
      <c r="A6" s="6" t="s">
        <v>20</v>
      </c>
      <c r="B6" s="9">
        <f>SUMIF('Donor Data (Task 1,2,3,4, 6)'!$A$4:$A$274,A6,'Donor Data (Task 1,2,3,4, 6)'!$C$4:$C$274)</f>
        <v>104</v>
      </c>
      <c r="C6" s="9">
        <f>SUMIF('Donor Data (Task 1,2,3,4, 6)'!$A$4:$A$274,A6,'Donor Data (Task 1,2,3,4, 6)'!$E$4:$E$274)</f>
        <v>87</v>
      </c>
      <c r="D6" s="9">
        <f>SUMIF('Donor Data (Task 1,2,3,4, 6)'!$A$4:$A$274,A6,'Donor Data (Task 1,2,3,4, 6)'!$F$4:$F$274)</f>
        <v>70</v>
      </c>
      <c r="E6" s="9">
        <f>SUMIF('Donor Data (Task 1,2,3,4, 6)'!$A$4:$A$274,A6,'Donor Data (Task 1,2,3,4, 6)'!$G$4:$G$274)</f>
        <v>66</v>
      </c>
      <c r="F6" s="10">
        <f t="shared" si="0"/>
        <v>0.63461538461538458</v>
      </c>
      <c r="G6" s="9">
        <f t="shared" si="1"/>
        <v>29</v>
      </c>
    </row>
    <row r="7" spans="1:7" ht="15" customHeight="1" x14ac:dyDescent="0.25">
      <c r="A7" s="3" t="s">
        <v>21</v>
      </c>
      <c r="B7" s="11">
        <f>SUMIF('Donor Data (Task 1,2,3,4, 6)'!$A$4:$A$274,A7,'Donor Data (Task 1,2,3,4, 6)'!$C$4:$C$274)</f>
        <v>424</v>
      </c>
      <c r="C7" s="11">
        <f>SUMIF('Donor Data (Task 1,2,3,4, 6)'!$A$4:$A$274,A7,'Donor Data (Task 1,2,3,4, 6)'!$E$4:$E$274)</f>
        <v>326</v>
      </c>
      <c r="D7" s="11">
        <f>SUMIF('Donor Data (Task 1,2,3,4, 6)'!$A$4:$A$274,A7,'Donor Data (Task 1,2,3,4, 6)'!$F$4:$F$274)</f>
        <v>266</v>
      </c>
      <c r="E7" s="11">
        <f>SUMIF('Donor Data (Task 1,2,3,4, 6)'!$A$4:$A$274,A7,'Donor Data (Task 1,2,3,4, 6)'!$G$4:$G$274)</f>
        <v>240</v>
      </c>
      <c r="F7" s="12">
        <f t="shared" si="0"/>
        <v>0.56603773584905659</v>
      </c>
      <c r="G7" s="11">
        <f t="shared" si="1"/>
        <v>4</v>
      </c>
    </row>
    <row r="8" spans="1:7" ht="15" customHeight="1" x14ac:dyDescent="0.25">
      <c r="A8" s="6" t="s">
        <v>22</v>
      </c>
      <c r="B8" s="9">
        <f>SUMIF('Donor Data (Task 1,2,3,4, 6)'!$A$4:$A$274,A8,'Donor Data (Task 1,2,3,4, 6)'!$C$4:$C$274)</f>
        <v>20</v>
      </c>
      <c r="C8" s="9">
        <f>SUMIF('Donor Data (Task 1,2,3,4, 6)'!$A$4:$A$274,A8,'Donor Data (Task 1,2,3,4, 6)'!$E$4:$E$274)</f>
        <v>16</v>
      </c>
      <c r="D8" s="9">
        <f>SUMIF('Donor Data (Task 1,2,3,4, 6)'!$A$4:$A$274,A8,'Donor Data (Task 1,2,3,4, 6)'!$F$4:$F$274)</f>
        <v>15</v>
      </c>
      <c r="E8" s="9">
        <f>SUMIF('Donor Data (Task 1,2,3,4, 6)'!$A$4:$A$274,A8,'Donor Data (Task 1,2,3,4, 6)'!$G$4:$G$274)</f>
        <v>15</v>
      </c>
      <c r="F8" s="10">
        <f t="shared" si="0"/>
        <v>0.75</v>
      </c>
      <c r="G8" s="9">
        <f t="shared" si="1"/>
        <v>38</v>
      </c>
    </row>
    <row r="9" spans="1:7" ht="15" customHeight="1" x14ac:dyDescent="0.25">
      <c r="A9" s="3" t="s">
        <v>23</v>
      </c>
      <c r="B9" s="11">
        <f>SUMIF('Donor Data (Task 1,2,3,4, 6)'!$A$4:$A$274,A9,'Donor Data (Task 1,2,3,4, 6)'!$C$4:$C$274)</f>
        <v>169</v>
      </c>
      <c r="C9" s="11">
        <f>SUMIF('Donor Data (Task 1,2,3,4, 6)'!$A$4:$A$274,A9,'Donor Data (Task 1,2,3,4, 6)'!$E$4:$E$274)</f>
        <v>142</v>
      </c>
      <c r="D9" s="11">
        <f>SUMIF('Donor Data (Task 1,2,3,4, 6)'!$A$4:$A$274,A9,'Donor Data (Task 1,2,3,4, 6)'!$F$4:$F$274)</f>
        <v>120</v>
      </c>
      <c r="E9" s="11">
        <f>SUMIF('Donor Data (Task 1,2,3,4, 6)'!$A$4:$A$274,A9,'Donor Data (Task 1,2,3,4, 6)'!$G$4:$G$274)</f>
        <v>103</v>
      </c>
      <c r="F9" s="12">
        <f t="shared" si="0"/>
        <v>0.60946745562130178</v>
      </c>
      <c r="G9" s="11">
        <f t="shared" si="1"/>
        <v>23</v>
      </c>
    </row>
    <row r="10" spans="1:7" ht="15" customHeight="1" x14ac:dyDescent="0.25">
      <c r="A10" s="6" t="s">
        <v>24</v>
      </c>
      <c r="B10" s="9">
        <f>SUMIF('Donor Data (Task 1,2,3,4, 6)'!$A$4:$A$274,A10,'Donor Data (Task 1,2,3,4, 6)'!$C$4:$C$274)</f>
        <v>272</v>
      </c>
      <c r="C10" s="9">
        <f>SUMIF('Donor Data (Task 1,2,3,4, 6)'!$A$4:$A$274,A10,'Donor Data (Task 1,2,3,4, 6)'!$E$4:$E$274)</f>
        <v>240</v>
      </c>
      <c r="D10" s="9">
        <f>SUMIF('Donor Data (Task 1,2,3,4, 6)'!$A$4:$A$274,A10,'Donor Data (Task 1,2,3,4, 6)'!$F$4:$F$274)</f>
        <v>201</v>
      </c>
      <c r="E10" s="9">
        <f>SUMIF('Donor Data (Task 1,2,3,4, 6)'!$A$4:$A$274,A10,'Donor Data (Task 1,2,3,4, 6)'!$G$4:$G$274)</f>
        <v>192</v>
      </c>
      <c r="F10" s="10">
        <f t="shared" si="0"/>
        <v>0.70588235294117652</v>
      </c>
      <c r="G10" s="9">
        <f t="shared" si="1"/>
        <v>15</v>
      </c>
    </row>
    <row r="11" spans="1:7" ht="15" customHeight="1" x14ac:dyDescent="0.25">
      <c r="A11" s="3" t="s">
        <v>25</v>
      </c>
      <c r="B11" s="11">
        <f>SUMIF('Donor Data (Task 1,2,3,4, 6)'!$A$4:$A$274,A11,'Donor Data (Task 1,2,3,4, 6)'!$C$4:$C$274)</f>
        <v>59</v>
      </c>
      <c r="C11" s="11">
        <f>SUMIF('Donor Data (Task 1,2,3,4, 6)'!$A$4:$A$274,A11,'Donor Data (Task 1,2,3,4, 6)'!$E$4:$E$274)</f>
        <v>46</v>
      </c>
      <c r="D11" s="11">
        <f>SUMIF('Donor Data (Task 1,2,3,4, 6)'!$A$4:$A$274,A11,'Donor Data (Task 1,2,3,4, 6)'!$F$4:$F$274)</f>
        <v>32</v>
      </c>
      <c r="E11" s="11">
        <f>SUMIF('Donor Data (Task 1,2,3,4, 6)'!$A$4:$A$274,A11,'Donor Data (Task 1,2,3,4, 6)'!$G$4:$G$274)</f>
        <v>26</v>
      </c>
      <c r="F11" s="12">
        <f t="shared" si="0"/>
        <v>0.44067796610169491</v>
      </c>
      <c r="G11" s="11">
        <f t="shared" si="1"/>
        <v>34</v>
      </c>
    </row>
    <row r="12" spans="1:7" ht="15" customHeight="1" x14ac:dyDescent="0.25">
      <c r="A12" s="6" t="s">
        <v>26</v>
      </c>
      <c r="B12" s="9">
        <f>SUMIF('Donor Data (Task 1,2,3,4, 6)'!$A$4:$A$274,A12,'Donor Data (Task 1,2,3,4, 6)'!$C$4:$C$274)</f>
        <v>574</v>
      </c>
      <c r="C12" s="9">
        <f>SUMIF('Donor Data (Task 1,2,3,4, 6)'!$A$4:$A$274,A12,'Donor Data (Task 1,2,3,4, 6)'!$E$4:$E$274)</f>
        <v>520</v>
      </c>
      <c r="D12" s="9">
        <f>SUMIF('Donor Data (Task 1,2,3,4, 6)'!$A$4:$A$274,A12,'Donor Data (Task 1,2,3,4, 6)'!$F$4:$F$274)</f>
        <v>449</v>
      </c>
      <c r="E12" s="9">
        <f>SUMIF('Donor Data (Task 1,2,3,4, 6)'!$A$4:$A$274,A12,'Donor Data (Task 1,2,3,4, 6)'!$G$4:$G$274)</f>
        <v>398</v>
      </c>
      <c r="F12" s="10">
        <f t="shared" si="0"/>
        <v>0.69337979094076652</v>
      </c>
      <c r="G12" s="9">
        <f t="shared" si="1"/>
        <v>1</v>
      </c>
    </row>
    <row r="13" spans="1:7" ht="15" customHeight="1" x14ac:dyDescent="0.25">
      <c r="A13" s="3" t="s">
        <v>27</v>
      </c>
      <c r="B13" s="11">
        <f>SUMIF('Donor Data (Task 1,2,3,4, 6)'!$A$4:$A$274,A13,'Donor Data (Task 1,2,3,4, 6)'!$C$4:$C$274)</f>
        <v>75</v>
      </c>
      <c r="C13" s="11">
        <f>SUMIF('Donor Data (Task 1,2,3,4, 6)'!$A$4:$A$274,A13,'Donor Data (Task 1,2,3,4, 6)'!$E$4:$E$274)</f>
        <v>67</v>
      </c>
      <c r="D13" s="11">
        <f>SUMIF('Donor Data (Task 1,2,3,4, 6)'!$A$4:$A$274,A13,'Donor Data (Task 1,2,3,4, 6)'!$F$4:$F$274)</f>
        <v>57</v>
      </c>
      <c r="E13" s="11">
        <f>SUMIF('Donor Data (Task 1,2,3,4, 6)'!$A$4:$A$274,A13,'Donor Data (Task 1,2,3,4, 6)'!$G$4:$G$274)</f>
        <v>50</v>
      </c>
      <c r="F13" s="12">
        <f t="shared" si="0"/>
        <v>0.66666666666666663</v>
      </c>
      <c r="G13" s="11">
        <f t="shared" si="1"/>
        <v>32</v>
      </c>
    </row>
    <row r="14" spans="1:7" ht="15" customHeight="1" x14ac:dyDescent="0.25">
      <c r="A14" s="6" t="s">
        <v>28</v>
      </c>
      <c r="B14" s="9">
        <f>SUMIF('Donor Data (Task 1,2,3,4, 6)'!$A$4:$A$274,A14,'Donor Data (Task 1,2,3,4, 6)'!$C$4:$C$274)</f>
        <v>344</v>
      </c>
      <c r="C14" s="9">
        <f>SUMIF('Donor Data (Task 1,2,3,4, 6)'!$A$4:$A$274,A14,'Donor Data (Task 1,2,3,4, 6)'!$E$4:$E$274)</f>
        <v>276</v>
      </c>
      <c r="D14" s="9">
        <f>SUMIF('Donor Data (Task 1,2,3,4, 6)'!$A$4:$A$274,A14,'Donor Data (Task 1,2,3,4, 6)'!$F$4:$F$274)</f>
        <v>232</v>
      </c>
      <c r="E14" s="9">
        <f>SUMIF('Donor Data (Task 1,2,3,4, 6)'!$A$4:$A$274,A14,'Donor Data (Task 1,2,3,4, 6)'!$G$4:$G$274)</f>
        <v>211</v>
      </c>
      <c r="F14" s="10">
        <f t="shared" si="0"/>
        <v>0.61337209302325579</v>
      </c>
      <c r="G14" s="9">
        <f t="shared" si="1"/>
        <v>9</v>
      </c>
    </row>
    <row r="15" spans="1:7" ht="15" customHeight="1" x14ac:dyDescent="0.25">
      <c r="A15" s="3" t="s">
        <v>29</v>
      </c>
      <c r="B15" s="11">
        <f>SUMIF('Donor Data (Task 1,2,3,4, 6)'!$A$4:$A$274,A15,'Donor Data (Task 1,2,3,4, 6)'!$C$4:$C$274)</f>
        <v>25</v>
      </c>
      <c r="C15" s="11">
        <f>SUMIF('Donor Data (Task 1,2,3,4, 6)'!$A$4:$A$274,A15,'Donor Data (Task 1,2,3,4, 6)'!$E$4:$E$274)</f>
        <v>24</v>
      </c>
      <c r="D15" s="11">
        <f>SUMIF('Donor Data (Task 1,2,3,4, 6)'!$A$4:$A$274,A15,'Donor Data (Task 1,2,3,4, 6)'!$F$4:$F$274)</f>
        <v>20</v>
      </c>
      <c r="E15" s="11">
        <f>SUMIF('Donor Data (Task 1,2,3,4, 6)'!$A$4:$A$274,A15,'Donor Data (Task 1,2,3,4, 6)'!$G$4:$G$274)</f>
        <v>17</v>
      </c>
      <c r="F15" s="12">
        <f t="shared" si="0"/>
        <v>0.68</v>
      </c>
      <c r="G15" s="11">
        <f t="shared" si="1"/>
        <v>37</v>
      </c>
    </row>
    <row r="16" spans="1:7" ht="15" customHeight="1" x14ac:dyDescent="0.25">
      <c r="A16" s="6" t="s">
        <v>30</v>
      </c>
      <c r="B16" s="9">
        <f>SUMIF('Donor Data (Task 1,2,3,4, 6)'!$A$4:$A$274,A16,'Donor Data (Task 1,2,3,4, 6)'!$C$4:$C$274)</f>
        <v>44</v>
      </c>
      <c r="C16" s="9">
        <f>SUMIF('Donor Data (Task 1,2,3,4, 6)'!$A$4:$A$274,A16,'Donor Data (Task 1,2,3,4, 6)'!$E$4:$E$274)</f>
        <v>40</v>
      </c>
      <c r="D16" s="9">
        <f>SUMIF('Donor Data (Task 1,2,3,4, 6)'!$A$4:$A$274,A16,'Donor Data (Task 1,2,3,4, 6)'!$F$4:$F$274)</f>
        <v>32</v>
      </c>
      <c r="E16" s="9">
        <f>SUMIF('Donor Data (Task 1,2,3,4, 6)'!$A$4:$A$274,A16,'Donor Data (Task 1,2,3,4, 6)'!$G$4:$G$274)</f>
        <v>32</v>
      </c>
      <c r="F16" s="10">
        <f t="shared" si="0"/>
        <v>0.72727272727272729</v>
      </c>
      <c r="G16" s="9">
        <f t="shared" si="1"/>
        <v>36</v>
      </c>
    </row>
    <row r="17" spans="1:7" ht="15" customHeight="1" x14ac:dyDescent="0.25">
      <c r="A17" s="3" t="s">
        <v>31</v>
      </c>
      <c r="B17" s="11">
        <f>SUMIF('Donor Data (Task 1,2,3,4, 6)'!$A$4:$A$274,A17,'Donor Data (Task 1,2,3,4, 6)'!$C$4:$C$274)</f>
        <v>293</v>
      </c>
      <c r="C17" s="11">
        <f>SUMIF('Donor Data (Task 1,2,3,4, 6)'!$A$4:$A$274,A17,'Donor Data (Task 1,2,3,4, 6)'!$E$4:$E$274)</f>
        <v>238</v>
      </c>
      <c r="D17" s="11">
        <f>SUMIF('Donor Data (Task 1,2,3,4, 6)'!$A$4:$A$274,A17,'Donor Data (Task 1,2,3,4, 6)'!$F$4:$F$274)</f>
        <v>196</v>
      </c>
      <c r="E17" s="11">
        <f>SUMIF('Donor Data (Task 1,2,3,4, 6)'!$A$4:$A$274,A17,'Donor Data (Task 1,2,3,4, 6)'!$G$4:$G$274)</f>
        <v>170</v>
      </c>
      <c r="F17" s="12">
        <f t="shared" si="0"/>
        <v>0.58020477815699656</v>
      </c>
      <c r="G17" s="11">
        <f t="shared" si="1"/>
        <v>13</v>
      </c>
    </row>
    <row r="18" spans="1:7" ht="15" customHeight="1" x14ac:dyDescent="0.25">
      <c r="A18" s="6" t="s">
        <v>32</v>
      </c>
      <c r="B18" s="9">
        <f>SUMIF('Donor Data (Task 1,2,3,4, 6)'!$A$4:$A$274,A18,'Donor Data (Task 1,2,3,4, 6)'!$C$4:$C$274)</f>
        <v>14</v>
      </c>
      <c r="C18" s="9">
        <f>SUMIF('Donor Data (Task 1,2,3,4, 6)'!$A$4:$A$274,A18,'Donor Data (Task 1,2,3,4, 6)'!$E$4:$E$274)</f>
        <v>12</v>
      </c>
      <c r="D18" s="9">
        <f>SUMIF('Donor Data (Task 1,2,3,4, 6)'!$A$4:$A$274,A18,'Donor Data (Task 1,2,3,4, 6)'!$F$4:$F$274)</f>
        <v>10</v>
      </c>
      <c r="E18" s="9">
        <f>SUMIF('Donor Data (Task 1,2,3,4, 6)'!$A$4:$A$274,A18,'Donor Data (Task 1,2,3,4, 6)'!$G$4:$G$274)</f>
        <v>10</v>
      </c>
      <c r="F18" s="10">
        <f t="shared" si="0"/>
        <v>0.7142857142857143</v>
      </c>
      <c r="G18" s="9">
        <f t="shared" si="1"/>
        <v>39</v>
      </c>
    </row>
    <row r="19" spans="1:7" ht="15" customHeight="1" x14ac:dyDescent="0.25">
      <c r="A19" s="3" t="s">
        <v>33</v>
      </c>
      <c r="B19" s="11">
        <f>SUMIF('Donor Data (Task 1,2,3,4, 6)'!$A$4:$A$274,A19,'Donor Data (Task 1,2,3,4, 6)'!$C$4:$C$274)</f>
        <v>158</v>
      </c>
      <c r="C19" s="11">
        <f>SUMIF('Donor Data (Task 1,2,3,4, 6)'!$A$4:$A$274,A19,'Donor Data (Task 1,2,3,4, 6)'!$E$4:$E$274)</f>
        <v>143</v>
      </c>
      <c r="D19" s="11">
        <f>SUMIF('Donor Data (Task 1,2,3,4, 6)'!$A$4:$A$274,A19,'Donor Data (Task 1,2,3,4, 6)'!$F$4:$F$274)</f>
        <v>127</v>
      </c>
      <c r="E19" s="11">
        <f>SUMIF('Donor Data (Task 1,2,3,4, 6)'!$A$4:$A$274,A19,'Donor Data (Task 1,2,3,4, 6)'!$G$4:$G$274)</f>
        <v>113</v>
      </c>
      <c r="F19" s="12">
        <f t="shared" si="0"/>
        <v>0.71518987341772156</v>
      </c>
      <c r="G19" s="11">
        <f t="shared" si="1"/>
        <v>25</v>
      </c>
    </row>
    <row r="20" spans="1:7" ht="15" customHeight="1" x14ac:dyDescent="0.25">
      <c r="A20" s="6" t="s">
        <v>34</v>
      </c>
      <c r="B20" s="9">
        <f>SUMIF('Donor Data (Task 1,2,3,4, 6)'!$A$4:$A$274,A20,'Donor Data (Task 1,2,3,4, 6)'!$C$4:$C$274)</f>
        <v>298</v>
      </c>
      <c r="C20" s="9">
        <f>SUMIF('Donor Data (Task 1,2,3,4, 6)'!$A$4:$A$274,A20,'Donor Data (Task 1,2,3,4, 6)'!$E$4:$E$274)</f>
        <v>259</v>
      </c>
      <c r="D20" s="9">
        <f>SUMIF('Donor Data (Task 1,2,3,4, 6)'!$A$4:$A$274,A20,'Donor Data (Task 1,2,3,4, 6)'!$F$4:$F$274)</f>
        <v>222</v>
      </c>
      <c r="E20" s="9">
        <f>SUMIF('Donor Data (Task 1,2,3,4, 6)'!$A$4:$A$274,A20,'Donor Data (Task 1,2,3,4, 6)'!$G$4:$G$274)</f>
        <v>199</v>
      </c>
      <c r="F20" s="10">
        <f t="shared" si="0"/>
        <v>0.66778523489932884</v>
      </c>
      <c r="G20" s="9">
        <f t="shared" si="1"/>
        <v>12</v>
      </c>
    </row>
    <row r="21" spans="1:7" ht="15" customHeight="1" x14ac:dyDescent="0.25">
      <c r="A21" s="3" t="s">
        <v>35</v>
      </c>
      <c r="B21" s="11">
        <f>SUMIF('Donor Data (Task 1,2,3,4, 6)'!$A$4:$A$274,A21,'Donor Data (Task 1,2,3,4, 6)'!$C$4:$C$274)</f>
        <v>220</v>
      </c>
      <c r="C21" s="11">
        <f>SUMIF('Donor Data (Task 1,2,3,4, 6)'!$A$4:$A$274,A21,'Donor Data (Task 1,2,3,4, 6)'!$E$4:$E$274)</f>
        <v>200</v>
      </c>
      <c r="D21" s="11">
        <f>SUMIF('Donor Data (Task 1,2,3,4, 6)'!$A$4:$A$274,A21,'Donor Data (Task 1,2,3,4, 6)'!$F$4:$F$274)</f>
        <v>174</v>
      </c>
      <c r="E21" s="11">
        <f>SUMIF('Donor Data (Task 1,2,3,4, 6)'!$A$4:$A$274,A21,'Donor Data (Task 1,2,3,4, 6)'!$G$4:$G$274)</f>
        <v>153</v>
      </c>
      <c r="F21" s="12">
        <f t="shared" si="0"/>
        <v>0.69545454545454544</v>
      </c>
      <c r="G21" s="11">
        <f t="shared" si="1"/>
        <v>19</v>
      </c>
    </row>
    <row r="22" spans="1:7" ht="15" customHeight="1" x14ac:dyDescent="0.25">
      <c r="A22" s="6" t="s">
        <v>36</v>
      </c>
      <c r="B22" s="9">
        <f>SUMIF('Donor Data (Task 1,2,3,4, 6)'!$A$4:$A$274,A22,'Donor Data (Task 1,2,3,4, 6)'!$C$4:$C$274)</f>
        <v>332</v>
      </c>
      <c r="C22" s="9">
        <f>SUMIF('Donor Data (Task 1,2,3,4, 6)'!$A$4:$A$274,A22,'Donor Data (Task 1,2,3,4, 6)'!$E$4:$E$274)</f>
        <v>311</v>
      </c>
      <c r="D22" s="9">
        <f>SUMIF('Donor Data (Task 1,2,3,4, 6)'!$A$4:$A$274,A22,'Donor Data (Task 1,2,3,4, 6)'!$F$4:$F$274)</f>
        <v>284</v>
      </c>
      <c r="E22" s="9">
        <f>SUMIF('Donor Data (Task 1,2,3,4, 6)'!$A$4:$A$274,A22,'Donor Data (Task 1,2,3,4, 6)'!$G$4:$G$274)</f>
        <v>266</v>
      </c>
      <c r="F22" s="10">
        <f t="shared" si="0"/>
        <v>0.8012048192771084</v>
      </c>
      <c r="G22" s="9">
        <f t="shared" si="1"/>
        <v>10</v>
      </c>
    </row>
    <row r="23" spans="1:7" ht="15" customHeight="1" x14ac:dyDescent="0.25">
      <c r="A23" s="3" t="s">
        <v>37</v>
      </c>
      <c r="B23" s="11">
        <f>SUMIF('Donor Data (Task 1,2,3,4, 6)'!$A$4:$A$274,A23,'Donor Data (Task 1,2,3,4, 6)'!$C$4:$C$274)</f>
        <v>117</v>
      </c>
      <c r="C23" s="11">
        <f>SUMIF('Donor Data (Task 1,2,3,4, 6)'!$A$4:$A$274,A23,'Donor Data (Task 1,2,3,4, 6)'!$E$4:$E$274)</f>
        <v>98</v>
      </c>
      <c r="D23" s="11">
        <f>SUMIF('Donor Data (Task 1,2,3,4, 6)'!$A$4:$A$274,A23,'Donor Data (Task 1,2,3,4, 6)'!$F$4:$F$274)</f>
        <v>83</v>
      </c>
      <c r="E23" s="11">
        <f>SUMIF('Donor Data (Task 1,2,3,4, 6)'!$A$4:$A$274,A23,'Donor Data (Task 1,2,3,4, 6)'!$G$4:$G$274)</f>
        <v>77</v>
      </c>
      <c r="F23" s="12">
        <f t="shared" si="0"/>
        <v>0.65811965811965811</v>
      </c>
      <c r="G23" s="11">
        <f t="shared" si="1"/>
        <v>27</v>
      </c>
    </row>
    <row r="24" spans="1:7" ht="15" customHeight="1" x14ac:dyDescent="0.25">
      <c r="A24" s="6" t="s">
        <v>38</v>
      </c>
      <c r="B24" s="9">
        <f>SUMIF('Donor Data (Task 1,2,3,4, 6)'!$A$4:$A$274,A24,'Donor Data (Task 1,2,3,4, 6)'!$C$4:$C$274)</f>
        <v>196</v>
      </c>
      <c r="C24" s="9">
        <f>SUMIF('Donor Data (Task 1,2,3,4, 6)'!$A$4:$A$274,A24,'Donor Data (Task 1,2,3,4, 6)'!$E$4:$E$274)</f>
        <v>182</v>
      </c>
      <c r="D24" s="9">
        <f>SUMIF('Donor Data (Task 1,2,3,4, 6)'!$A$4:$A$274,A24,'Donor Data (Task 1,2,3,4, 6)'!$F$4:$F$274)</f>
        <v>167</v>
      </c>
      <c r="E24" s="9">
        <f>SUMIF('Donor Data (Task 1,2,3,4, 6)'!$A$4:$A$274,A24,'Donor Data (Task 1,2,3,4, 6)'!$G$4:$G$274)</f>
        <v>157</v>
      </c>
      <c r="F24" s="10">
        <f t="shared" si="0"/>
        <v>0.80102040816326525</v>
      </c>
      <c r="G24" s="9">
        <f t="shared" si="1"/>
        <v>22</v>
      </c>
    </row>
    <row r="25" spans="1:7" ht="15" customHeight="1" x14ac:dyDescent="0.25">
      <c r="A25" s="3" t="s">
        <v>39</v>
      </c>
      <c r="B25" s="11">
        <f>SUMIF('Donor Data (Task 1,2,3,4, 6)'!$A$4:$A$274,A25,'Donor Data (Task 1,2,3,4, 6)'!$C$4:$C$274)</f>
        <v>242</v>
      </c>
      <c r="C25" s="11">
        <f>SUMIF('Donor Data (Task 1,2,3,4, 6)'!$A$4:$A$274,A25,'Donor Data (Task 1,2,3,4, 6)'!$E$4:$E$274)</f>
        <v>225</v>
      </c>
      <c r="D25" s="11">
        <f>SUMIF('Donor Data (Task 1,2,3,4, 6)'!$A$4:$A$274,A25,'Donor Data (Task 1,2,3,4, 6)'!$F$4:$F$274)</f>
        <v>197</v>
      </c>
      <c r="E25" s="11">
        <f>SUMIF('Donor Data (Task 1,2,3,4, 6)'!$A$4:$A$274,A25,'Donor Data (Task 1,2,3,4, 6)'!$G$4:$G$274)</f>
        <v>179</v>
      </c>
      <c r="F25" s="12">
        <f t="shared" si="0"/>
        <v>0.73966942148760328</v>
      </c>
      <c r="G25" s="11">
        <f t="shared" si="1"/>
        <v>17</v>
      </c>
    </row>
    <row r="26" spans="1:7" ht="15" customHeight="1" x14ac:dyDescent="0.25">
      <c r="A26" s="6" t="s">
        <v>40</v>
      </c>
      <c r="B26" s="9">
        <f>SUMIF('Donor Data (Task 1,2,3,4, 6)'!$A$4:$A$274,A26,'Donor Data (Task 1,2,3,4, 6)'!$C$4:$C$274)</f>
        <v>92</v>
      </c>
      <c r="C26" s="9">
        <f>SUMIF('Donor Data (Task 1,2,3,4, 6)'!$A$4:$A$274,A26,'Donor Data (Task 1,2,3,4, 6)'!$E$4:$E$274)</f>
        <v>83</v>
      </c>
      <c r="D26" s="9">
        <f>SUMIF('Donor Data (Task 1,2,3,4, 6)'!$A$4:$A$274,A26,'Donor Data (Task 1,2,3,4, 6)'!$F$4:$F$274)</f>
        <v>76</v>
      </c>
      <c r="E26" s="9">
        <f>SUMIF('Donor Data (Task 1,2,3,4, 6)'!$A$4:$A$274,A26,'Donor Data (Task 1,2,3,4, 6)'!$G$4:$G$274)</f>
        <v>72</v>
      </c>
      <c r="F26" s="10">
        <f t="shared" si="0"/>
        <v>0.78260869565217395</v>
      </c>
      <c r="G26" s="9">
        <f t="shared" si="1"/>
        <v>31</v>
      </c>
    </row>
    <row r="27" spans="1:7" ht="15" customHeight="1" x14ac:dyDescent="0.25">
      <c r="A27" s="3" t="s">
        <v>41</v>
      </c>
      <c r="B27" s="11">
        <f>SUMIF('Donor Data (Task 1,2,3,4, 6)'!$A$4:$A$274,A27,'Donor Data (Task 1,2,3,4, 6)'!$C$4:$C$274)</f>
        <v>408</v>
      </c>
      <c r="C27" s="11">
        <f>SUMIF('Donor Data (Task 1,2,3,4, 6)'!$A$4:$A$274,A27,'Donor Data (Task 1,2,3,4, 6)'!$E$4:$E$274)</f>
        <v>330</v>
      </c>
      <c r="D27" s="11">
        <f>SUMIF('Donor Data (Task 1,2,3,4, 6)'!$A$4:$A$274,A27,'Donor Data (Task 1,2,3,4, 6)'!$F$4:$F$274)</f>
        <v>270</v>
      </c>
      <c r="E27" s="11">
        <f>SUMIF('Donor Data (Task 1,2,3,4, 6)'!$A$4:$A$274,A27,'Donor Data (Task 1,2,3,4, 6)'!$G$4:$G$274)</f>
        <v>249</v>
      </c>
      <c r="F27" s="12">
        <f t="shared" si="0"/>
        <v>0.61029411764705888</v>
      </c>
      <c r="G27" s="11">
        <f t="shared" si="1"/>
        <v>5</v>
      </c>
    </row>
    <row r="28" spans="1:7" ht="15" customHeight="1" x14ac:dyDescent="0.25">
      <c r="A28" s="6" t="s">
        <v>42</v>
      </c>
      <c r="B28" s="9">
        <f>SUMIF('Donor Data (Task 1,2,3,4, 6)'!$A$4:$A$274,A28,'Donor Data (Task 1,2,3,4, 6)'!$C$4:$C$274)</f>
        <v>270</v>
      </c>
      <c r="C28" s="9">
        <f>SUMIF('Donor Data (Task 1,2,3,4, 6)'!$A$4:$A$274,A28,'Donor Data (Task 1,2,3,4, 6)'!$E$4:$E$274)</f>
        <v>261</v>
      </c>
      <c r="D28" s="9">
        <f>SUMIF('Donor Data (Task 1,2,3,4, 6)'!$A$4:$A$274,A28,'Donor Data (Task 1,2,3,4, 6)'!$F$4:$F$274)</f>
        <v>243</v>
      </c>
      <c r="E28" s="9">
        <f>SUMIF('Donor Data (Task 1,2,3,4, 6)'!$A$4:$A$274,A28,'Donor Data (Task 1,2,3,4, 6)'!$G$4:$G$274)</f>
        <v>231</v>
      </c>
      <c r="F28" s="10">
        <f t="shared" si="0"/>
        <v>0.85555555555555551</v>
      </c>
      <c r="G28" s="9">
        <f t="shared" si="1"/>
        <v>16</v>
      </c>
    </row>
    <row r="29" spans="1:7" ht="15" customHeight="1" x14ac:dyDescent="0.25">
      <c r="A29" s="3" t="s">
        <v>43</v>
      </c>
      <c r="B29" s="11">
        <f>SUMIF('Donor Data (Task 1,2,3,4, 6)'!$A$4:$A$274,A29,'Donor Data (Task 1,2,3,4, 6)'!$C$4:$C$274)</f>
        <v>383</v>
      </c>
      <c r="C29" s="11">
        <f>SUMIF('Donor Data (Task 1,2,3,4, 6)'!$A$4:$A$274,A29,'Donor Data (Task 1,2,3,4, 6)'!$E$4:$E$274)</f>
        <v>338</v>
      </c>
      <c r="D29" s="11">
        <f>SUMIF('Donor Data (Task 1,2,3,4, 6)'!$A$4:$A$274,A29,'Donor Data (Task 1,2,3,4, 6)'!$F$4:$F$274)</f>
        <v>286</v>
      </c>
      <c r="E29" s="11">
        <f>SUMIF('Donor Data (Task 1,2,3,4, 6)'!$A$4:$A$274,A29,'Donor Data (Task 1,2,3,4, 6)'!$G$4:$G$274)</f>
        <v>253</v>
      </c>
      <c r="F29" s="12">
        <f t="shared" si="0"/>
        <v>0.66057441253263705</v>
      </c>
      <c r="G29" s="11">
        <f t="shared" si="1"/>
        <v>6</v>
      </c>
    </row>
    <row r="30" spans="1:7" ht="15" customHeight="1" x14ac:dyDescent="0.25">
      <c r="A30" s="6" t="s">
        <v>44</v>
      </c>
      <c r="B30" s="9">
        <f>SUMIF('Donor Data (Task 1,2,3,4, 6)'!$A$4:$A$274,A30,'Donor Data (Task 1,2,3,4, 6)'!$C$4:$C$274)</f>
        <v>205</v>
      </c>
      <c r="C30" s="9">
        <f>SUMIF('Donor Data (Task 1,2,3,4, 6)'!$A$4:$A$274,A30,'Donor Data (Task 1,2,3,4, 6)'!$E$4:$E$274)</f>
        <v>165</v>
      </c>
      <c r="D30" s="9">
        <f>SUMIF('Donor Data (Task 1,2,3,4, 6)'!$A$4:$A$274,A30,'Donor Data (Task 1,2,3,4, 6)'!$F$4:$F$274)</f>
        <v>140</v>
      </c>
      <c r="E30" s="9">
        <f>SUMIF('Donor Data (Task 1,2,3,4, 6)'!$A$4:$A$274,A30,'Donor Data (Task 1,2,3,4, 6)'!$G$4:$G$274)</f>
        <v>117</v>
      </c>
      <c r="F30" s="10">
        <f t="shared" si="0"/>
        <v>0.57073170731707312</v>
      </c>
      <c r="G30" s="9">
        <f t="shared" si="1"/>
        <v>20</v>
      </c>
    </row>
    <row r="31" spans="1:7" ht="15" customHeight="1" x14ac:dyDescent="0.25">
      <c r="A31" s="3" t="s">
        <v>45</v>
      </c>
      <c r="B31" s="11">
        <f>SUMIF('Donor Data (Task 1,2,3,4, 6)'!$A$4:$A$274,A31,'Donor Data (Task 1,2,3,4, 6)'!$C$4:$C$274)</f>
        <v>202</v>
      </c>
      <c r="C31" s="11">
        <f>SUMIF('Donor Data (Task 1,2,3,4, 6)'!$A$4:$A$274,A31,'Donor Data (Task 1,2,3,4, 6)'!$E$4:$E$274)</f>
        <v>178</v>
      </c>
      <c r="D31" s="11">
        <f>SUMIF('Donor Data (Task 1,2,3,4, 6)'!$A$4:$A$274,A31,'Donor Data (Task 1,2,3,4, 6)'!$F$4:$F$274)</f>
        <v>155</v>
      </c>
      <c r="E31" s="11">
        <f>SUMIF('Donor Data (Task 1,2,3,4, 6)'!$A$4:$A$274,A31,'Donor Data (Task 1,2,3,4, 6)'!$G$4:$G$274)</f>
        <v>139</v>
      </c>
      <c r="F31" s="12">
        <f t="shared" si="0"/>
        <v>0.68811881188118806</v>
      </c>
      <c r="G31" s="11">
        <f t="shared" si="1"/>
        <v>21</v>
      </c>
    </row>
    <row r="32" spans="1:7" ht="15" customHeight="1" x14ac:dyDescent="0.25">
      <c r="A32" s="6" t="s">
        <v>46</v>
      </c>
      <c r="B32" s="9">
        <f>SUMIF('Donor Data (Task 1,2,3,4, 6)'!$A$4:$A$274,A32,'Donor Data (Task 1,2,3,4, 6)'!$C$4:$C$274)</f>
        <v>519</v>
      </c>
      <c r="C32" s="9">
        <f>SUMIF('Donor Data (Task 1,2,3,4, 6)'!$A$4:$A$274,A32,'Donor Data (Task 1,2,3,4, 6)'!$E$4:$E$274)</f>
        <v>474</v>
      </c>
      <c r="D32" s="9">
        <f>SUMIF('Donor Data (Task 1,2,3,4, 6)'!$A$4:$A$274,A32,'Donor Data (Task 1,2,3,4, 6)'!$F$4:$F$274)</f>
        <v>427</v>
      </c>
      <c r="E32" s="9">
        <f>SUMIF('Donor Data (Task 1,2,3,4, 6)'!$A$4:$A$274,A32,'Donor Data (Task 1,2,3,4, 6)'!$G$4:$G$274)</f>
        <v>392</v>
      </c>
      <c r="F32" s="10">
        <f t="shared" si="0"/>
        <v>0.75529865125240847</v>
      </c>
      <c r="G32" s="9">
        <f t="shared" si="1"/>
        <v>3</v>
      </c>
    </row>
    <row r="33" spans="1:7" ht="15" customHeight="1" x14ac:dyDescent="0.25">
      <c r="A33" s="3" t="s">
        <v>47</v>
      </c>
      <c r="B33" s="11">
        <f>SUMIF('Donor Data (Task 1,2,3,4, 6)'!$A$4:$A$274,A33,'Donor Data (Task 1,2,3,4, 6)'!$C$4:$C$274)</f>
        <v>354</v>
      </c>
      <c r="C33" s="11">
        <f>SUMIF('Donor Data (Task 1,2,3,4, 6)'!$A$4:$A$274,A33,'Donor Data (Task 1,2,3,4, 6)'!$E$4:$E$274)</f>
        <v>312</v>
      </c>
      <c r="D33" s="11">
        <f>SUMIF('Donor Data (Task 1,2,3,4, 6)'!$A$4:$A$274,A33,'Donor Data (Task 1,2,3,4, 6)'!$F$4:$F$274)</f>
        <v>268</v>
      </c>
      <c r="E33" s="11">
        <f>SUMIF('Donor Data (Task 1,2,3,4, 6)'!$A$4:$A$274,A33,'Donor Data (Task 1,2,3,4, 6)'!$G$4:$G$274)</f>
        <v>245</v>
      </c>
      <c r="F33" s="12">
        <f t="shared" si="0"/>
        <v>0.69209039548022599</v>
      </c>
      <c r="G33" s="11">
        <f t="shared" si="1"/>
        <v>8</v>
      </c>
    </row>
    <row r="34" spans="1:7" ht="15" customHeight="1" x14ac:dyDescent="0.25">
      <c r="A34" s="6" t="s">
        <v>48</v>
      </c>
      <c r="B34" s="9">
        <f>SUMIF('Donor Data (Task 1,2,3,4, 6)'!$A$4:$A$274,A34,'Donor Data (Task 1,2,3,4, 6)'!$C$4:$C$274)</f>
        <v>75</v>
      </c>
      <c r="C34" s="9">
        <f>SUMIF('Donor Data (Task 1,2,3,4, 6)'!$A$4:$A$274,A34,'Donor Data (Task 1,2,3,4, 6)'!$E$4:$E$274)</f>
        <v>59</v>
      </c>
      <c r="D34" s="9">
        <f>SUMIF('Donor Data (Task 1,2,3,4, 6)'!$A$4:$A$274,A34,'Donor Data (Task 1,2,3,4, 6)'!$F$4:$F$274)</f>
        <v>54</v>
      </c>
      <c r="E34" s="9">
        <f>SUMIF('Donor Data (Task 1,2,3,4, 6)'!$A$4:$A$274,A34,'Donor Data (Task 1,2,3,4, 6)'!$G$4:$G$274)</f>
        <v>49</v>
      </c>
      <c r="F34" s="10">
        <f t="shared" si="0"/>
        <v>0.65333333333333332</v>
      </c>
      <c r="G34" s="9">
        <f t="shared" si="1"/>
        <v>32</v>
      </c>
    </row>
    <row r="35" spans="1:7" ht="15" customHeight="1" x14ac:dyDescent="0.25">
      <c r="A35" s="3" t="s">
        <v>49</v>
      </c>
      <c r="B35" s="11">
        <f>SUMIF('Donor Data (Task 1,2,3,4, 6)'!$A$4:$A$274,A35,'Donor Data (Task 1,2,3,4, 6)'!$C$4:$C$274)</f>
        <v>4</v>
      </c>
      <c r="C35" s="11">
        <f>SUMIF('Donor Data (Task 1,2,3,4, 6)'!$A$4:$A$274,A35,'Donor Data (Task 1,2,3,4, 6)'!$E$4:$E$274)</f>
        <v>3</v>
      </c>
      <c r="D35" s="11">
        <f>SUMIF('Donor Data (Task 1,2,3,4, 6)'!$A$4:$A$274,A35,'Donor Data (Task 1,2,3,4, 6)'!$F$4:$F$274)</f>
        <v>1</v>
      </c>
      <c r="E35" s="11">
        <f>SUMIF('Donor Data (Task 1,2,3,4, 6)'!$A$4:$A$274,A35,'Donor Data (Task 1,2,3,4, 6)'!$G$4:$G$274)</f>
        <v>1</v>
      </c>
      <c r="F35" s="12">
        <f t="shared" si="0"/>
        <v>0.25</v>
      </c>
      <c r="G35" s="11">
        <f t="shared" si="1"/>
        <v>40</v>
      </c>
    </row>
    <row r="36" spans="1:7" ht="15" customHeight="1" x14ac:dyDescent="0.25">
      <c r="A36" s="6" t="s">
        <v>50</v>
      </c>
      <c r="B36" s="9">
        <f>SUMIF('Donor Data (Task 1,2,3,4, 6)'!$A$4:$A$274,A36,'Donor Data (Task 1,2,3,4, 6)'!$C$4:$C$274)</f>
        <v>100</v>
      </c>
      <c r="C36" s="9">
        <f>SUMIF('Donor Data (Task 1,2,3,4, 6)'!$A$4:$A$274,A36,'Donor Data (Task 1,2,3,4, 6)'!$E$4:$E$274)</f>
        <v>85</v>
      </c>
      <c r="D36" s="9">
        <f>SUMIF('Donor Data (Task 1,2,3,4, 6)'!$A$4:$A$274,A36,'Donor Data (Task 1,2,3,4, 6)'!$F$4:$F$274)</f>
        <v>74</v>
      </c>
      <c r="E36" s="9">
        <f>SUMIF('Donor Data (Task 1,2,3,4, 6)'!$A$4:$A$274,A36,'Donor Data (Task 1,2,3,4, 6)'!$G$4:$G$274)</f>
        <v>65</v>
      </c>
      <c r="F36" s="10">
        <f t="shared" si="0"/>
        <v>0.65</v>
      </c>
      <c r="G36" s="9">
        <f t="shared" si="1"/>
        <v>30</v>
      </c>
    </row>
    <row r="37" spans="1:7" ht="15" customHeight="1" x14ac:dyDescent="0.25">
      <c r="A37" s="3" t="s">
        <v>51</v>
      </c>
      <c r="B37" s="11">
        <f>SUMIF('Donor Data (Task 1,2,3,4, 6)'!$A$4:$A$274,A37,'Donor Data (Task 1,2,3,4, 6)'!$C$4:$C$274)</f>
        <v>135</v>
      </c>
      <c r="C37" s="11">
        <f>SUMIF('Donor Data (Task 1,2,3,4, 6)'!$A$4:$A$274,A37,'Donor Data (Task 1,2,3,4, 6)'!$E$4:$E$274)</f>
        <v>125</v>
      </c>
      <c r="D37" s="11">
        <f>SUMIF('Donor Data (Task 1,2,3,4, 6)'!$A$4:$A$274,A37,'Donor Data (Task 1,2,3,4, 6)'!$F$4:$F$274)</f>
        <v>115</v>
      </c>
      <c r="E37" s="11">
        <f>SUMIF('Donor Data (Task 1,2,3,4, 6)'!$A$4:$A$274,A37,'Donor Data (Task 1,2,3,4, 6)'!$G$4:$G$274)</f>
        <v>104</v>
      </c>
      <c r="F37" s="12">
        <f t="shared" si="0"/>
        <v>0.77037037037037037</v>
      </c>
      <c r="G37" s="11">
        <f t="shared" si="1"/>
        <v>26</v>
      </c>
    </row>
    <row r="38" spans="1:7" ht="15" customHeight="1" x14ac:dyDescent="0.25">
      <c r="A38" s="6" t="s">
        <v>52</v>
      </c>
      <c r="B38" s="9">
        <f>SUMIF('Donor Data (Task 1,2,3,4, 6)'!$A$4:$A$274,A38,'Donor Data (Task 1,2,3,4, 6)'!$C$4:$C$274)</f>
        <v>3</v>
      </c>
      <c r="C38" s="9">
        <f>SUMIF('Donor Data (Task 1,2,3,4, 6)'!$A$4:$A$274,A38,'Donor Data (Task 1,2,3,4, 6)'!$E$4:$E$274)</f>
        <v>1</v>
      </c>
      <c r="D38" s="9">
        <f>SUMIF('Donor Data (Task 1,2,3,4, 6)'!$A$4:$A$274,A38,'Donor Data (Task 1,2,3,4, 6)'!$F$4:$F$274)</f>
        <v>1</v>
      </c>
      <c r="E38" s="9">
        <f>SUMIF('Donor Data (Task 1,2,3,4, 6)'!$A$4:$A$274,A38,'Donor Data (Task 1,2,3,4, 6)'!$G$4:$G$274)</f>
        <v>0</v>
      </c>
      <c r="F38" s="10">
        <f t="shared" si="0"/>
        <v>0</v>
      </c>
      <c r="G38" s="9">
        <f t="shared" si="1"/>
        <v>41</v>
      </c>
    </row>
    <row r="39" spans="1:7" ht="15" customHeight="1" x14ac:dyDescent="0.25">
      <c r="A39" s="3" t="s">
        <v>53</v>
      </c>
      <c r="B39" s="11">
        <f>SUMIF('Donor Data (Task 1,2,3,4, 6)'!$A$4:$A$274,A39,'Donor Data (Task 1,2,3,4, 6)'!$C$4:$C$274)</f>
        <v>313</v>
      </c>
      <c r="C39" s="11">
        <f>SUMIF('Donor Data (Task 1,2,3,4, 6)'!$A$4:$A$274,A39,'Donor Data (Task 1,2,3,4, 6)'!$E$4:$E$274)</f>
        <v>268</v>
      </c>
      <c r="D39" s="11">
        <f>SUMIF('Donor Data (Task 1,2,3,4, 6)'!$A$4:$A$274,A39,'Donor Data (Task 1,2,3,4, 6)'!$F$4:$F$274)</f>
        <v>234</v>
      </c>
      <c r="E39" s="11">
        <f>SUMIF('Donor Data (Task 1,2,3,4, 6)'!$A$4:$A$274,A39,'Donor Data (Task 1,2,3,4, 6)'!$G$4:$G$274)</f>
        <v>209</v>
      </c>
      <c r="F39" s="12">
        <f t="shared" si="0"/>
        <v>0.66773162939297126</v>
      </c>
      <c r="G39" s="11">
        <f t="shared" si="1"/>
        <v>11</v>
      </c>
    </row>
    <row r="40" spans="1:7" ht="15" customHeight="1" x14ac:dyDescent="0.25">
      <c r="A40" s="6" t="s">
        <v>54</v>
      </c>
      <c r="B40" s="9">
        <f>SUMIF('Donor Data (Task 1,2,3,4, 6)'!$A$4:$A$274,A40,'Donor Data (Task 1,2,3,4, 6)'!$C$4:$C$274)</f>
        <v>536</v>
      </c>
      <c r="C40" s="9">
        <f>SUMIF('Donor Data (Task 1,2,3,4, 6)'!$A$4:$A$274,A40,'Donor Data (Task 1,2,3,4, 6)'!$E$4:$E$274)</f>
        <v>458</v>
      </c>
      <c r="D40" s="9">
        <f>SUMIF('Donor Data (Task 1,2,3,4, 6)'!$A$4:$A$274,A40,'Donor Data (Task 1,2,3,4, 6)'!$F$4:$F$274)</f>
        <v>401</v>
      </c>
      <c r="E40" s="9">
        <f>SUMIF('Donor Data (Task 1,2,3,4, 6)'!$A$4:$A$274,A40,'Donor Data (Task 1,2,3,4, 6)'!$G$4:$G$274)</f>
        <v>356</v>
      </c>
      <c r="F40" s="10">
        <f t="shared" si="0"/>
        <v>0.66417910447761197</v>
      </c>
      <c r="G40" s="9">
        <f t="shared" si="1"/>
        <v>2</v>
      </c>
    </row>
    <row r="41" spans="1:7" ht="15" customHeight="1" x14ac:dyDescent="0.25">
      <c r="A41" s="3" t="s">
        <v>55</v>
      </c>
      <c r="B41" s="11">
        <f>SUMIF('Donor Data (Task 1,2,3,4, 6)'!$A$4:$A$274,A41,'Donor Data (Task 1,2,3,4, 6)'!$C$4:$C$274)</f>
        <v>162</v>
      </c>
      <c r="C41" s="11">
        <f>SUMIF('Donor Data (Task 1,2,3,4, 6)'!$A$4:$A$274,A41,'Donor Data (Task 1,2,3,4, 6)'!$E$4:$E$274)</f>
        <v>150</v>
      </c>
      <c r="D41" s="11">
        <f>SUMIF('Donor Data (Task 1,2,3,4, 6)'!$A$4:$A$274,A41,'Donor Data (Task 1,2,3,4, 6)'!$F$4:$F$274)</f>
        <v>131</v>
      </c>
      <c r="E41" s="11">
        <f>SUMIF('Donor Data (Task 1,2,3,4, 6)'!$A$4:$A$274,A41,'Donor Data (Task 1,2,3,4, 6)'!$G$4:$G$274)</f>
        <v>118</v>
      </c>
      <c r="F41" s="12">
        <f t="shared" si="0"/>
        <v>0.72839506172839508</v>
      </c>
      <c r="G41" s="11">
        <f t="shared" si="1"/>
        <v>24</v>
      </c>
    </row>
    <row r="42" spans="1:7" ht="15" customHeight="1" x14ac:dyDescent="0.25">
      <c r="A42" s="6" t="s">
        <v>56</v>
      </c>
      <c r="B42" s="9">
        <f>SUMIF('Donor Data (Task 1,2,3,4, 6)'!$A$4:$A$274,A42,'Donor Data (Task 1,2,3,4, 6)'!$C$4:$C$274)</f>
        <v>48</v>
      </c>
      <c r="C42" s="9">
        <f>SUMIF('Donor Data (Task 1,2,3,4, 6)'!$A$4:$A$274,A42,'Donor Data (Task 1,2,3,4, 6)'!$E$4:$E$274)</f>
        <v>37</v>
      </c>
      <c r="D42" s="9">
        <f>SUMIF('Donor Data (Task 1,2,3,4, 6)'!$A$4:$A$274,A42,'Donor Data (Task 1,2,3,4, 6)'!$F$4:$F$274)</f>
        <v>32</v>
      </c>
      <c r="E42" s="9">
        <f>SUMIF('Donor Data (Task 1,2,3,4, 6)'!$A$4:$A$274,A42,'Donor Data (Task 1,2,3,4, 6)'!$G$4:$G$274)</f>
        <v>28</v>
      </c>
      <c r="F42" s="10">
        <f t="shared" si="0"/>
        <v>0.58333333333333337</v>
      </c>
      <c r="G42" s="9">
        <f t="shared" si="1"/>
        <v>35</v>
      </c>
    </row>
    <row r="43" spans="1:7" ht="15" customHeight="1" x14ac:dyDescent="0.25">
      <c r="A43" s="3" t="s">
        <v>57</v>
      </c>
      <c r="B43" s="11">
        <f>SUMIF('Donor Data (Task 1,2,3,4, 6)'!$A$4:$A$274,A43,'Donor Data (Task 1,2,3,4, 6)'!$C$4:$C$274)</f>
        <v>286</v>
      </c>
      <c r="C43" s="11">
        <f>SUMIF('Donor Data (Task 1,2,3,4, 6)'!$A$4:$A$274,A43,'Donor Data (Task 1,2,3,4, 6)'!$E$4:$E$274)</f>
        <v>238</v>
      </c>
      <c r="D43" s="11">
        <f>SUMIF('Donor Data (Task 1,2,3,4, 6)'!$A$4:$A$274,A43,'Donor Data (Task 1,2,3,4, 6)'!$F$4:$F$274)</f>
        <v>208</v>
      </c>
      <c r="E43" s="11">
        <f>SUMIF('Donor Data (Task 1,2,3,4, 6)'!$A$4:$A$274,A43,'Donor Data (Task 1,2,3,4, 6)'!$G$4:$G$274)</f>
        <v>182</v>
      </c>
      <c r="F43" s="12">
        <f t="shared" si="0"/>
        <v>0.63636363636363635</v>
      </c>
      <c r="G43" s="11">
        <f t="shared" si="1"/>
        <v>14</v>
      </c>
    </row>
    <row r="44" spans="1:7" ht="15" customHeight="1" x14ac:dyDescent="0.25">
      <c r="A44" s="6" t="s">
        <v>58</v>
      </c>
      <c r="B44" s="9">
        <f>SUMIF('Donor Data (Task 1,2,3,4, 6)'!$A$4:$A$274,A44,'Donor Data (Task 1,2,3,4, 6)'!$C$4:$C$274)</f>
        <v>361</v>
      </c>
      <c r="C44" s="9">
        <f>SUMIF('Donor Data (Task 1,2,3,4, 6)'!$A$4:$A$274,A44,'Donor Data (Task 1,2,3,4, 6)'!$E$4:$E$274)</f>
        <v>295</v>
      </c>
      <c r="D44" s="9">
        <f>SUMIF('Donor Data (Task 1,2,3,4, 6)'!$A$4:$A$274,A44,'Donor Data (Task 1,2,3,4, 6)'!$F$4:$F$274)</f>
        <v>242</v>
      </c>
      <c r="E44" s="9">
        <f>SUMIF('Donor Data (Task 1,2,3,4, 6)'!$A$4:$A$274,A44,'Donor Data (Task 1,2,3,4, 6)'!$G$4:$G$274)</f>
        <v>204</v>
      </c>
      <c r="F44" s="10">
        <f t="shared" si="0"/>
        <v>0.5650969529085873</v>
      </c>
      <c r="G44" s="9">
        <f t="shared" si="1"/>
        <v>7</v>
      </c>
    </row>
    <row r="45" spans="1:7" ht="15" customHeight="1" x14ac:dyDescent="0.25">
      <c r="A45" s="13" t="s">
        <v>67</v>
      </c>
      <c r="B45" s="14">
        <f>SUM(B4:B44)</f>
        <v>8786</v>
      </c>
      <c r="C45" s="14">
        <f>SUM(C4:C44)</f>
        <v>7620</v>
      </c>
      <c r="D45" s="14">
        <f>SUM(D4:D44)</f>
        <v>6576</v>
      </c>
      <c r="E45" s="14">
        <f>SUM(E4:E44)</f>
        <v>5936</v>
      </c>
      <c r="F45" s="15">
        <f t="shared" si="0"/>
        <v>0.67562030503073067</v>
      </c>
      <c r="G45" s="16"/>
    </row>
    <row r="47" spans="1:7" ht="19.5" customHeight="1" x14ac:dyDescent="0.25">
      <c r="A47" s="35" t="s">
        <v>68</v>
      </c>
      <c r="B47" s="35"/>
      <c r="C47" s="35"/>
      <c r="D47" s="35"/>
      <c r="E47" s="35"/>
      <c r="F47" s="35"/>
      <c r="G47" s="35"/>
    </row>
  </sheetData>
  <mergeCells count="3">
    <mergeCell ref="A1:G1"/>
    <mergeCell ref="A2:G2"/>
    <mergeCell ref="A47:G4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ColWidth="8.7109375" defaultRowHeight="15" x14ac:dyDescent="0.25"/>
  <cols>
    <col min="1" max="1" width="22" customWidth="1"/>
    <col min="2" max="2" width="22.28515625" customWidth="1"/>
    <col min="3" max="3" width="16" customWidth="1"/>
    <col min="4" max="4" width="19.140625" customWidth="1"/>
    <col min="5" max="7" width="16" customWidth="1"/>
  </cols>
  <sheetData>
    <row r="1" spans="1:7" ht="25.5" customHeight="1" x14ac:dyDescent="0.25">
      <c r="A1" s="28" t="s">
        <v>69</v>
      </c>
      <c r="B1" s="28"/>
      <c r="C1" s="28"/>
      <c r="D1" s="28"/>
      <c r="E1" s="28"/>
      <c r="F1" s="28"/>
      <c r="G1" s="28"/>
    </row>
    <row r="2" spans="1:7" ht="15" customHeight="1" x14ac:dyDescent="0.25">
      <c r="A2" s="36" t="s">
        <v>70</v>
      </c>
      <c r="B2" s="36"/>
      <c r="C2" s="36"/>
      <c r="D2" s="36"/>
      <c r="E2" s="36"/>
      <c r="F2" s="36"/>
      <c r="G2" s="36"/>
    </row>
    <row r="3" spans="1:7" ht="21.75" customHeight="1" x14ac:dyDescent="0.25">
      <c r="A3" s="2" t="s">
        <v>1</v>
      </c>
      <c r="B3" s="2" t="s">
        <v>61</v>
      </c>
      <c r="C3" s="2" t="s">
        <v>71</v>
      </c>
      <c r="D3" s="2" t="s">
        <v>65</v>
      </c>
      <c r="E3" s="2" t="s">
        <v>66</v>
      </c>
      <c r="F3" s="2" t="s">
        <v>72</v>
      </c>
      <c r="G3" s="2" t="s">
        <v>73</v>
      </c>
    </row>
    <row r="4" spans="1:7" ht="15" customHeight="1" x14ac:dyDescent="0.25">
      <c r="A4" s="17" t="s">
        <v>26</v>
      </c>
      <c r="B4" s="9">
        <v>574</v>
      </c>
      <c r="C4" s="9">
        <v>398</v>
      </c>
      <c r="D4" s="10">
        <v>0.69337979094076696</v>
      </c>
      <c r="E4" s="9">
        <v>1</v>
      </c>
      <c r="F4" s="9">
        <v>16</v>
      </c>
      <c r="G4" s="25" t="s">
        <v>80</v>
      </c>
    </row>
    <row r="5" spans="1:7" ht="15" customHeight="1" x14ac:dyDescent="0.25">
      <c r="A5" s="18" t="s">
        <v>54</v>
      </c>
      <c r="B5" s="11">
        <v>536</v>
      </c>
      <c r="C5" s="11">
        <v>356</v>
      </c>
      <c r="D5" s="12">
        <v>0.66417910447761197</v>
      </c>
      <c r="E5" s="11">
        <v>2</v>
      </c>
      <c r="F5" s="11">
        <v>23</v>
      </c>
      <c r="G5" s="25" t="s">
        <v>80</v>
      </c>
    </row>
    <row r="6" spans="1:7" ht="15" customHeight="1" x14ac:dyDescent="0.25">
      <c r="A6" s="17" t="s">
        <v>46</v>
      </c>
      <c r="B6" s="9">
        <v>519</v>
      </c>
      <c r="C6" s="9">
        <v>392</v>
      </c>
      <c r="D6" s="10">
        <v>0.75529865125240903</v>
      </c>
      <c r="E6" s="9">
        <v>3</v>
      </c>
      <c r="F6" s="9">
        <v>7</v>
      </c>
      <c r="G6" s="25" t="s">
        <v>80</v>
      </c>
    </row>
    <row r="7" spans="1:7" ht="15" customHeight="1" x14ac:dyDescent="0.25">
      <c r="A7" s="18" t="s">
        <v>21</v>
      </c>
      <c r="B7" s="11">
        <v>424</v>
      </c>
      <c r="C7" s="11">
        <v>240</v>
      </c>
      <c r="D7" s="12">
        <v>0.56603773584905703</v>
      </c>
      <c r="E7" s="11">
        <v>4</v>
      </c>
      <c r="F7" s="11">
        <v>37</v>
      </c>
      <c r="G7" s="25" t="s">
        <v>80</v>
      </c>
    </row>
    <row r="8" spans="1:7" ht="15" customHeight="1" x14ac:dyDescent="0.25">
      <c r="A8" s="17" t="s">
        <v>41</v>
      </c>
      <c r="B8" s="9">
        <v>408</v>
      </c>
      <c r="C8" s="9">
        <v>249</v>
      </c>
      <c r="D8" s="10">
        <v>0.61029411764705899</v>
      </c>
      <c r="E8" s="9">
        <v>5</v>
      </c>
      <c r="F8" s="9">
        <v>31</v>
      </c>
      <c r="G8" s="25" t="s">
        <v>80</v>
      </c>
    </row>
    <row r="9" spans="1:7" ht="15" customHeight="1" x14ac:dyDescent="0.25">
      <c r="A9" s="18" t="s">
        <v>43</v>
      </c>
      <c r="B9" s="11">
        <v>383</v>
      </c>
      <c r="C9" s="11">
        <v>253</v>
      </c>
      <c r="D9" s="12">
        <v>0.66057441253263705</v>
      </c>
      <c r="E9" s="11">
        <v>6</v>
      </c>
      <c r="F9" s="11">
        <v>24</v>
      </c>
      <c r="G9" s="25" t="s">
        <v>80</v>
      </c>
    </row>
    <row r="10" spans="1:7" ht="15" customHeight="1" x14ac:dyDescent="0.25">
      <c r="A10" s="17" t="s">
        <v>58</v>
      </c>
      <c r="B10" s="9">
        <v>361</v>
      </c>
      <c r="C10" s="9">
        <v>204</v>
      </c>
      <c r="D10" s="10">
        <v>0.56509695290858697</v>
      </c>
      <c r="E10" s="9">
        <v>7</v>
      </c>
      <c r="F10" s="9">
        <v>38</v>
      </c>
      <c r="G10" s="25" t="s">
        <v>80</v>
      </c>
    </row>
    <row r="11" spans="1:7" ht="15" customHeight="1" x14ac:dyDescent="0.25">
      <c r="A11" s="18" t="s">
        <v>47</v>
      </c>
      <c r="B11" s="11">
        <v>354</v>
      </c>
      <c r="C11" s="11">
        <v>245</v>
      </c>
      <c r="D11" s="12">
        <v>0.69209039548022599</v>
      </c>
      <c r="E11" s="11">
        <v>8</v>
      </c>
      <c r="F11" s="11">
        <v>17</v>
      </c>
      <c r="G11" s="25" t="s">
        <v>80</v>
      </c>
    </row>
    <row r="12" spans="1:7" ht="15" customHeight="1" x14ac:dyDescent="0.25">
      <c r="A12" s="17" t="s">
        <v>28</v>
      </c>
      <c r="B12" s="9">
        <v>344</v>
      </c>
      <c r="C12" s="9">
        <v>211</v>
      </c>
      <c r="D12" s="10">
        <v>0.61337209302325602</v>
      </c>
      <c r="E12" s="9">
        <v>9</v>
      </c>
      <c r="F12" s="9">
        <v>30</v>
      </c>
      <c r="G12" s="25" t="s">
        <v>80</v>
      </c>
    </row>
    <row r="13" spans="1:7" ht="15" customHeight="1" x14ac:dyDescent="0.25">
      <c r="A13" s="18" t="s">
        <v>36</v>
      </c>
      <c r="B13" s="11">
        <v>332</v>
      </c>
      <c r="C13" s="11">
        <v>266</v>
      </c>
      <c r="D13" s="12">
        <v>0.80120481927710796</v>
      </c>
      <c r="E13" s="11">
        <v>10</v>
      </c>
      <c r="F13" s="11">
        <v>2</v>
      </c>
      <c r="G13" s="25" t="s">
        <v>80</v>
      </c>
    </row>
    <row r="14" spans="1:7" ht="15" customHeight="1" x14ac:dyDescent="0.25">
      <c r="A14" s="17" t="s">
        <v>53</v>
      </c>
      <c r="B14" s="9">
        <v>313</v>
      </c>
      <c r="C14" s="9">
        <v>209</v>
      </c>
      <c r="D14" s="10">
        <v>0.66773162939297104</v>
      </c>
      <c r="E14" s="9">
        <v>11</v>
      </c>
      <c r="F14" s="9">
        <v>21</v>
      </c>
      <c r="G14" s="26" t="s">
        <v>81</v>
      </c>
    </row>
    <row r="15" spans="1:7" ht="15" customHeight="1" x14ac:dyDescent="0.25">
      <c r="A15" s="18" t="s">
        <v>34</v>
      </c>
      <c r="B15" s="11">
        <v>298</v>
      </c>
      <c r="C15" s="11">
        <v>199</v>
      </c>
      <c r="D15" s="12">
        <v>0.66778523489932895</v>
      </c>
      <c r="E15" s="11">
        <v>12</v>
      </c>
      <c r="F15" s="11">
        <v>20</v>
      </c>
      <c r="G15" s="26" t="s">
        <v>81</v>
      </c>
    </row>
    <row r="16" spans="1:7" ht="15" customHeight="1" x14ac:dyDescent="0.25">
      <c r="A16" s="17" t="s">
        <v>31</v>
      </c>
      <c r="B16" s="9">
        <v>293</v>
      </c>
      <c r="C16" s="9">
        <v>170</v>
      </c>
      <c r="D16" s="10">
        <v>0.580204778156997</v>
      </c>
      <c r="E16" s="9">
        <v>13</v>
      </c>
      <c r="F16" s="9">
        <v>34</v>
      </c>
      <c r="G16" s="27" t="s">
        <v>82</v>
      </c>
    </row>
    <row r="17" spans="1:7" ht="15" customHeight="1" x14ac:dyDescent="0.25">
      <c r="A17" s="18" t="s">
        <v>57</v>
      </c>
      <c r="B17" s="11">
        <v>286</v>
      </c>
      <c r="C17" s="11">
        <v>182</v>
      </c>
      <c r="D17" s="12">
        <v>0.63636363636363602</v>
      </c>
      <c r="E17" s="11">
        <v>14</v>
      </c>
      <c r="F17" s="11">
        <v>28</v>
      </c>
      <c r="G17" s="27" t="s">
        <v>82</v>
      </c>
    </row>
    <row r="18" spans="1:7" ht="15" customHeight="1" x14ac:dyDescent="0.25">
      <c r="A18" s="17" t="s">
        <v>24</v>
      </c>
      <c r="B18" s="9">
        <v>272</v>
      </c>
      <c r="C18" s="9">
        <v>192</v>
      </c>
      <c r="D18" s="10">
        <v>0.70588235294117696</v>
      </c>
      <c r="E18" s="9">
        <v>15</v>
      </c>
      <c r="F18" s="9">
        <v>14</v>
      </c>
      <c r="G18" s="26" t="s">
        <v>81</v>
      </c>
    </row>
    <row r="19" spans="1:7" ht="15" customHeight="1" x14ac:dyDescent="0.25">
      <c r="A19" s="18" t="s">
        <v>42</v>
      </c>
      <c r="B19" s="11">
        <v>270</v>
      </c>
      <c r="C19" s="11">
        <v>231</v>
      </c>
      <c r="D19" s="12">
        <v>0.85555555555555596</v>
      </c>
      <c r="E19" s="11">
        <v>16</v>
      </c>
      <c r="F19" s="11">
        <v>1</v>
      </c>
      <c r="G19" s="25" t="s">
        <v>80</v>
      </c>
    </row>
    <row r="20" spans="1:7" ht="15" customHeight="1" x14ac:dyDescent="0.25">
      <c r="A20" s="17" t="s">
        <v>39</v>
      </c>
      <c r="B20" s="9">
        <v>242</v>
      </c>
      <c r="C20" s="9">
        <v>179</v>
      </c>
      <c r="D20" s="10">
        <v>0.73966942148760295</v>
      </c>
      <c r="E20" s="9">
        <v>17</v>
      </c>
      <c r="F20" s="9">
        <v>9</v>
      </c>
      <c r="G20" s="26" t="s">
        <v>81</v>
      </c>
    </row>
    <row r="21" spans="1:7" ht="15" customHeight="1" x14ac:dyDescent="0.25">
      <c r="A21" s="18" t="s">
        <v>10</v>
      </c>
      <c r="B21" s="11">
        <v>237</v>
      </c>
      <c r="C21" s="11">
        <v>183</v>
      </c>
      <c r="D21" s="12">
        <v>0.772151898734177</v>
      </c>
      <c r="E21" s="11">
        <v>18</v>
      </c>
      <c r="F21" s="11">
        <v>5</v>
      </c>
      <c r="G21" s="25" t="s">
        <v>80</v>
      </c>
    </row>
    <row r="22" spans="1:7" ht="15" customHeight="1" x14ac:dyDescent="0.25">
      <c r="A22" s="17" t="s">
        <v>35</v>
      </c>
      <c r="B22" s="9">
        <v>220</v>
      </c>
      <c r="C22" s="9">
        <v>153</v>
      </c>
      <c r="D22" s="10">
        <v>0.69545454545454499</v>
      </c>
      <c r="E22" s="9">
        <v>19</v>
      </c>
      <c r="F22" s="9">
        <v>15</v>
      </c>
      <c r="G22" s="26" t="s">
        <v>81</v>
      </c>
    </row>
    <row r="23" spans="1:7" ht="15" customHeight="1" x14ac:dyDescent="0.25">
      <c r="A23" s="18" t="s">
        <v>44</v>
      </c>
      <c r="B23" s="11">
        <v>205</v>
      </c>
      <c r="C23" s="11">
        <v>117</v>
      </c>
      <c r="D23" s="12">
        <v>0.57073170731707301</v>
      </c>
      <c r="E23" s="11">
        <v>20</v>
      </c>
      <c r="F23" s="11">
        <v>35</v>
      </c>
      <c r="G23" s="27" t="s">
        <v>82</v>
      </c>
    </row>
    <row r="24" spans="1:7" ht="15" customHeight="1" x14ac:dyDescent="0.25">
      <c r="A24" s="17" t="s">
        <v>45</v>
      </c>
      <c r="B24" s="9">
        <v>202</v>
      </c>
      <c r="C24" s="9">
        <v>139</v>
      </c>
      <c r="D24" s="10">
        <v>0.68811881188118795</v>
      </c>
      <c r="E24" s="9">
        <v>21</v>
      </c>
      <c r="F24" s="9">
        <v>18</v>
      </c>
      <c r="G24" s="26" t="s">
        <v>81</v>
      </c>
    </row>
    <row r="25" spans="1:7" ht="15" customHeight="1" x14ac:dyDescent="0.25">
      <c r="A25" s="18" t="s">
        <v>38</v>
      </c>
      <c r="B25" s="11">
        <v>196</v>
      </c>
      <c r="C25" s="11">
        <v>157</v>
      </c>
      <c r="D25" s="12">
        <v>0.80102040816326503</v>
      </c>
      <c r="E25" s="11">
        <v>22</v>
      </c>
      <c r="F25" s="11">
        <v>3</v>
      </c>
      <c r="G25" s="25" t="s">
        <v>80</v>
      </c>
    </row>
    <row r="26" spans="1:7" ht="15" customHeight="1" x14ac:dyDescent="0.25">
      <c r="A26" s="17" t="s">
        <v>23</v>
      </c>
      <c r="B26" s="9">
        <v>169</v>
      </c>
      <c r="C26" s="9">
        <v>103</v>
      </c>
      <c r="D26" s="10">
        <v>0.609467455621302</v>
      </c>
      <c r="E26" s="9">
        <v>23</v>
      </c>
      <c r="F26" s="9">
        <v>32</v>
      </c>
      <c r="G26" s="27" t="s">
        <v>82</v>
      </c>
    </row>
    <row r="27" spans="1:7" ht="15" customHeight="1" x14ac:dyDescent="0.25">
      <c r="A27" s="18" t="s">
        <v>55</v>
      </c>
      <c r="B27" s="11">
        <v>162</v>
      </c>
      <c r="C27" s="11">
        <v>118</v>
      </c>
      <c r="D27" s="12">
        <v>0.72839506172839497</v>
      </c>
      <c r="E27" s="11">
        <v>24</v>
      </c>
      <c r="F27" s="11">
        <v>10</v>
      </c>
      <c r="G27" s="26" t="s">
        <v>81</v>
      </c>
    </row>
    <row r="28" spans="1:7" ht="15" customHeight="1" x14ac:dyDescent="0.25">
      <c r="A28" s="17" t="s">
        <v>33</v>
      </c>
      <c r="B28" s="9">
        <v>158</v>
      </c>
      <c r="C28" s="9">
        <v>113</v>
      </c>
      <c r="D28" s="10">
        <v>0.715189873417722</v>
      </c>
      <c r="E28" s="9">
        <v>25</v>
      </c>
      <c r="F28" s="9">
        <v>12</v>
      </c>
      <c r="G28" s="26" t="s">
        <v>81</v>
      </c>
    </row>
    <row r="29" spans="1:7" ht="15" customHeight="1" x14ac:dyDescent="0.25">
      <c r="A29" s="18" t="s">
        <v>51</v>
      </c>
      <c r="B29" s="11">
        <v>135</v>
      </c>
      <c r="C29" s="11">
        <v>104</v>
      </c>
      <c r="D29" s="12">
        <v>0.77037037037037004</v>
      </c>
      <c r="E29" s="11">
        <v>26</v>
      </c>
      <c r="F29" s="11">
        <v>6</v>
      </c>
      <c r="G29" s="26" t="s">
        <v>81</v>
      </c>
    </row>
    <row r="30" spans="1:7" ht="15" customHeight="1" x14ac:dyDescent="0.25">
      <c r="A30" s="17" t="s">
        <v>37</v>
      </c>
      <c r="B30" s="9">
        <v>117</v>
      </c>
      <c r="C30" s="9">
        <v>77</v>
      </c>
      <c r="D30" s="10">
        <v>0.658119658119658</v>
      </c>
      <c r="E30" s="9">
        <v>27</v>
      </c>
      <c r="F30" s="9">
        <v>25</v>
      </c>
      <c r="G30" s="26" t="s">
        <v>81</v>
      </c>
    </row>
    <row r="31" spans="1:7" ht="15" customHeight="1" x14ac:dyDescent="0.25">
      <c r="A31" s="18" t="s">
        <v>19</v>
      </c>
      <c r="B31" s="11">
        <v>114</v>
      </c>
      <c r="C31" s="11">
        <v>65</v>
      </c>
      <c r="D31" s="12">
        <v>0.570175438596491</v>
      </c>
      <c r="E31" s="11">
        <v>28</v>
      </c>
      <c r="F31" s="11">
        <v>36</v>
      </c>
      <c r="G31" s="27" t="s">
        <v>82</v>
      </c>
    </row>
    <row r="32" spans="1:7" ht="15" customHeight="1" x14ac:dyDescent="0.25">
      <c r="A32" s="17" t="s">
        <v>20</v>
      </c>
      <c r="B32" s="9">
        <v>104</v>
      </c>
      <c r="C32" s="9">
        <v>66</v>
      </c>
      <c r="D32" s="10">
        <v>0.63461538461538503</v>
      </c>
      <c r="E32" s="9">
        <v>29</v>
      </c>
      <c r="F32" s="9">
        <v>29</v>
      </c>
      <c r="G32" s="27" t="s">
        <v>82</v>
      </c>
    </row>
    <row r="33" spans="1:7" ht="15" customHeight="1" x14ac:dyDescent="0.25">
      <c r="A33" s="18" t="s">
        <v>50</v>
      </c>
      <c r="B33" s="11">
        <v>100</v>
      </c>
      <c r="C33" s="11">
        <v>65</v>
      </c>
      <c r="D33" s="12">
        <v>0.65</v>
      </c>
      <c r="E33" s="11">
        <v>30</v>
      </c>
      <c r="F33" s="11">
        <v>27</v>
      </c>
      <c r="G33" s="26" t="s">
        <v>81</v>
      </c>
    </row>
    <row r="34" spans="1:7" ht="15" customHeight="1" x14ac:dyDescent="0.25">
      <c r="A34" s="17" t="s">
        <v>40</v>
      </c>
      <c r="B34" s="9">
        <v>92</v>
      </c>
      <c r="C34" s="9">
        <v>72</v>
      </c>
      <c r="D34" s="10">
        <v>0.78260869565217395</v>
      </c>
      <c r="E34" s="9">
        <v>31</v>
      </c>
      <c r="F34" s="9">
        <v>4</v>
      </c>
      <c r="G34" s="25" t="s">
        <v>80</v>
      </c>
    </row>
    <row r="35" spans="1:7" ht="15" customHeight="1" x14ac:dyDescent="0.25">
      <c r="A35" s="18" t="s">
        <v>27</v>
      </c>
      <c r="B35" s="11">
        <v>75</v>
      </c>
      <c r="C35" s="11">
        <v>50</v>
      </c>
      <c r="D35" s="12">
        <v>0.66666666666666696</v>
      </c>
      <c r="E35" s="11">
        <v>32</v>
      </c>
      <c r="F35" s="11">
        <v>22</v>
      </c>
      <c r="G35" s="26" t="s">
        <v>81</v>
      </c>
    </row>
    <row r="36" spans="1:7" ht="15" customHeight="1" x14ac:dyDescent="0.25">
      <c r="A36" s="17" t="s">
        <v>48</v>
      </c>
      <c r="B36" s="9">
        <v>75</v>
      </c>
      <c r="C36" s="9">
        <v>49</v>
      </c>
      <c r="D36" s="10">
        <v>0.65333333333333299</v>
      </c>
      <c r="E36" s="9">
        <v>33</v>
      </c>
      <c r="F36" s="9">
        <v>26</v>
      </c>
      <c r="G36" s="26" t="s">
        <v>81</v>
      </c>
    </row>
    <row r="37" spans="1:7" ht="15" customHeight="1" x14ac:dyDescent="0.25">
      <c r="A37" s="18" t="s">
        <v>25</v>
      </c>
      <c r="B37" s="11">
        <v>59</v>
      </c>
      <c r="C37" s="11">
        <v>26</v>
      </c>
      <c r="D37" s="12">
        <v>0.44067796610169502</v>
      </c>
      <c r="E37" s="11">
        <v>34</v>
      </c>
      <c r="F37" s="11">
        <v>39</v>
      </c>
      <c r="G37" s="27" t="s">
        <v>82</v>
      </c>
    </row>
    <row r="38" spans="1:7" ht="15" customHeight="1" x14ac:dyDescent="0.25">
      <c r="A38" s="17" t="s">
        <v>56</v>
      </c>
      <c r="B38" s="9">
        <v>48</v>
      </c>
      <c r="C38" s="9">
        <v>28</v>
      </c>
      <c r="D38" s="10">
        <v>0.58333333333333304</v>
      </c>
      <c r="E38" s="9">
        <v>35</v>
      </c>
      <c r="F38" s="9">
        <v>33</v>
      </c>
      <c r="G38" s="27" t="s">
        <v>82</v>
      </c>
    </row>
    <row r="39" spans="1:7" ht="15" customHeight="1" x14ac:dyDescent="0.25">
      <c r="A39" s="18" t="s">
        <v>30</v>
      </c>
      <c r="B39" s="11">
        <v>44</v>
      </c>
      <c r="C39" s="11">
        <v>32</v>
      </c>
      <c r="D39" s="12">
        <v>0.72727272727272696</v>
      </c>
      <c r="E39" s="11">
        <v>36</v>
      </c>
      <c r="F39" s="11">
        <v>11</v>
      </c>
      <c r="G39" s="26" t="s">
        <v>81</v>
      </c>
    </row>
    <row r="40" spans="1:7" ht="15" customHeight="1" x14ac:dyDescent="0.25">
      <c r="A40" s="17" t="s">
        <v>29</v>
      </c>
      <c r="B40" s="9">
        <v>25</v>
      </c>
      <c r="C40" s="9">
        <v>17</v>
      </c>
      <c r="D40" s="10">
        <v>0.68</v>
      </c>
      <c r="E40" s="9">
        <v>37</v>
      </c>
      <c r="F40" s="9">
        <v>19</v>
      </c>
      <c r="G40" s="26" t="s">
        <v>81</v>
      </c>
    </row>
    <row r="41" spans="1:7" ht="15" customHeight="1" x14ac:dyDescent="0.25">
      <c r="A41" s="18" t="s">
        <v>22</v>
      </c>
      <c r="B41" s="11">
        <v>20</v>
      </c>
      <c r="C41" s="11">
        <v>15</v>
      </c>
      <c r="D41" s="12">
        <v>0.75</v>
      </c>
      <c r="E41" s="11">
        <v>38</v>
      </c>
      <c r="F41" s="11">
        <v>8</v>
      </c>
      <c r="G41" s="26" t="s">
        <v>81</v>
      </c>
    </row>
    <row r="42" spans="1:7" ht="15" customHeight="1" x14ac:dyDescent="0.25">
      <c r="A42" s="17" t="s">
        <v>32</v>
      </c>
      <c r="B42" s="9">
        <v>14</v>
      </c>
      <c r="C42" s="9">
        <v>10</v>
      </c>
      <c r="D42" s="10">
        <v>0.71428571428571397</v>
      </c>
      <c r="E42" s="9">
        <v>39</v>
      </c>
      <c r="F42" s="9">
        <v>13</v>
      </c>
      <c r="G42" s="26" t="s">
        <v>81</v>
      </c>
    </row>
    <row r="43" spans="1:7" ht="15" customHeight="1" x14ac:dyDescent="0.25">
      <c r="A43" s="18" t="s">
        <v>49</v>
      </c>
      <c r="B43" s="11">
        <v>4</v>
      </c>
      <c r="C43" s="11">
        <v>1</v>
      </c>
      <c r="D43" s="12">
        <v>0.25</v>
      </c>
      <c r="E43" s="11">
        <v>40</v>
      </c>
      <c r="F43" s="11">
        <v>40</v>
      </c>
      <c r="G43" s="27" t="s">
        <v>82</v>
      </c>
    </row>
    <row r="44" spans="1:7" ht="15" customHeight="1" x14ac:dyDescent="0.25">
      <c r="A44" s="17" t="s">
        <v>52</v>
      </c>
      <c r="B44" s="9">
        <v>3</v>
      </c>
      <c r="C44" s="9">
        <v>0</v>
      </c>
      <c r="D44" s="10">
        <v>0</v>
      </c>
      <c r="E44" s="9">
        <v>41</v>
      </c>
      <c r="F44" s="9">
        <v>41</v>
      </c>
      <c r="G44" s="27" t="s">
        <v>82</v>
      </c>
    </row>
    <row r="47" spans="1:7" ht="192.75" customHeight="1" x14ac:dyDescent="0.25">
      <c r="A47" s="29" t="s">
        <v>83</v>
      </c>
      <c r="B47" s="30"/>
      <c r="C47" s="30"/>
      <c r="D47" s="30"/>
      <c r="E47" s="30"/>
      <c r="F47" s="30"/>
      <c r="G47" s="1"/>
    </row>
  </sheetData>
  <mergeCells count="3">
    <mergeCell ref="A1:G1"/>
    <mergeCell ref="A2:G2"/>
    <mergeCell ref="A47:F4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selection activeCell="C16" sqref="C16"/>
    </sheetView>
  </sheetViews>
  <sheetFormatPr defaultColWidth="8.7109375" defaultRowHeight="15" x14ac:dyDescent="0.25"/>
  <cols>
    <col min="1" max="6" width="18" customWidth="1"/>
  </cols>
  <sheetData>
    <row r="1" spans="1:6" ht="25.5" customHeight="1" x14ac:dyDescent="0.25">
      <c r="A1" s="28" t="s">
        <v>74</v>
      </c>
      <c r="B1" s="28"/>
      <c r="C1" s="28"/>
      <c r="D1" s="28"/>
      <c r="E1" s="28"/>
      <c r="F1" s="28"/>
    </row>
    <row r="2" spans="1:6" ht="21.75" customHeight="1" x14ac:dyDescent="0.25">
      <c r="A2" s="2" t="s">
        <v>2</v>
      </c>
      <c r="B2" s="2" t="s">
        <v>61</v>
      </c>
      <c r="C2" s="2" t="s">
        <v>62</v>
      </c>
      <c r="D2" s="2" t="s">
        <v>64</v>
      </c>
      <c r="E2" s="2" t="s">
        <v>75</v>
      </c>
      <c r="F2" s="2" t="s">
        <v>65</v>
      </c>
    </row>
    <row r="3" spans="1:6" ht="15" customHeight="1" x14ac:dyDescent="0.25">
      <c r="A3" s="19" t="s">
        <v>18</v>
      </c>
      <c r="B3" s="11">
        <v>4</v>
      </c>
      <c r="C3" s="11">
        <v>2</v>
      </c>
      <c r="D3" s="11">
        <v>0</v>
      </c>
      <c r="E3" s="12">
        <v>1</v>
      </c>
      <c r="F3" s="12">
        <v>0</v>
      </c>
    </row>
    <row r="4" spans="1:6" ht="15" customHeight="1" x14ac:dyDescent="0.25">
      <c r="A4" s="20" t="s">
        <v>11</v>
      </c>
      <c r="B4" s="9">
        <v>1546</v>
      </c>
      <c r="C4" s="9">
        <v>1236</v>
      </c>
      <c r="D4" s="9">
        <v>856</v>
      </c>
      <c r="E4" s="10">
        <v>0.307443365695793</v>
      </c>
      <c r="F4" s="10">
        <v>0.55368693402328595</v>
      </c>
    </row>
    <row r="5" spans="1:6" ht="15" customHeight="1" x14ac:dyDescent="0.25">
      <c r="A5" s="19" t="s">
        <v>12</v>
      </c>
      <c r="B5" s="11">
        <v>1378</v>
      </c>
      <c r="C5" s="11">
        <v>1147</v>
      </c>
      <c r="D5" s="11">
        <v>826</v>
      </c>
      <c r="E5" s="12">
        <v>0.27986050566695703</v>
      </c>
      <c r="F5" s="12">
        <v>0.599419448476052</v>
      </c>
    </row>
    <row r="6" spans="1:6" ht="15" customHeight="1" x14ac:dyDescent="0.25">
      <c r="A6" s="20" t="s">
        <v>13</v>
      </c>
      <c r="B6" s="9">
        <v>2843</v>
      </c>
      <c r="C6" s="9">
        <v>2483</v>
      </c>
      <c r="D6" s="9">
        <v>1890</v>
      </c>
      <c r="E6" s="10">
        <v>0.238824003221909</v>
      </c>
      <c r="F6" s="10">
        <v>0.66479071403447099</v>
      </c>
    </row>
    <row r="7" spans="1:6" ht="15" customHeight="1" x14ac:dyDescent="0.25">
      <c r="A7" s="19" t="s">
        <v>14</v>
      </c>
      <c r="B7" s="11">
        <v>1488</v>
      </c>
      <c r="C7" s="11">
        <v>1337</v>
      </c>
      <c r="D7" s="11">
        <v>1123</v>
      </c>
      <c r="E7" s="12">
        <v>0.16005983545250599</v>
      </c>
      <c r="F7" s="12">
        <v>0.75470430107526898</v>
      </c>
    </row>
    <row r="8" spans="1:6" ht="15" customHeight="1" x14ac:dyDescent="0.25">
      <c r="A8" s="20" t="s">
        <v>15</v>
      </c>
      <c r="B8" s="9">
        <v>791</v>
      </c>
      <c r="C8" s="9">
        <v>735</v>
      </c>
      <c r="D8" s="9">
        <v>637</v>
      </c>
      <c r="E8" s="10">
        <v>0.133333333333333</v>
      </c>
      <c r="F8" s="10">
        <v>0.80530973451327403</v>
      </c>
    </row>
    <row r="9" spans="1:6" ht="15" customHeight="1" x14ac:dyDescent="0.25">
      <c r="A9" s="19" t="s">
        <v>16</v>
      </c>
      <c r="B9" s="11">
        <v>371</v>
      </c>
      <c r="C9" s="11">
        <v>344</v>
      </c>
      <c r="D9" s="11">
        <v>304</v>
      </c>
      <c r="E9" s="12">
        <v>0.116279069767442</v>
      </c>
      <c r="F9" s="12">
        <v>0.819407008086253</v>
      </c>
    </row>
    <row r="10" spans="1:6" ht="15" customHeight="1" x14ac:dyDescent="0.25">
      <c r="A10" s="20" t="s">
        <v>17</v>
      </c>
      <c r="B10" s="9">
        <v>366</v>
      </c>
      <c r="C10" s="9">
        <v>337</v>
      </c>
      <c r="D10" s="9">
        <v>300</v>
      </c>
      <c r="E10" s="10">
        <v>0.109792284866469</v>
      </c>
      <c r="F10" s="10">
        <v>0.81967213114754101</v>
      </c>
    </row>
    <row r="13" spans="1:6" ht="39.75" customHeight="1" x14ac:dyDescent="0.25">
      <c r="A13" s="29" t="s">
        <v>76</v>
      </c>
      <c r="B13" s="30"/>
      <c r="C13" s="30"/>
      <c r="D13" s="30"/>
      <c r="E13" s="30"/>
      <c r="F13" s="30"/>
    </row>
  </sheetData>
  <mergeCells count="2">
    <mergeCell ref="A1:F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Donor Data (Task 1,2,3,4, 6)</vt:lpstr>
      <vt:lpstr>Owner Totals (Pivot)(Task 4)</vt:lpstr>
      <vt:lpstr>Owner Performance(Task 5)</vt:lpstr>
      <vt:lpstr>Age Group Insights(Task 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COMPAQ</cp:lastModifiedBy>
  <cp:revision>3</cp:revision>
  <dcterms:created xsi:type="dcterms:W3CDTF">2026-06-11T17:13:58Z</dcterms:created>
  <dcterms:modified xsi:type="dcterms:W3CDTF">2026-06-12T11:23:13Z</dcterms:modified>
  <dc:language>en-US</dc:language>
</cp:coreProperties>
</file>